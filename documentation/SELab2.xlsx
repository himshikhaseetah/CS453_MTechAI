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3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drawings/drawing4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5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drawings/drawing6.xml" ContentType="application/vnd.openxmlformats-officedocument.drawing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 AI\SE Lab\CS453_MTechAI\documentation\"/>
    </mc:Choice>
  </mc:AlternateContent>
  <xr:revisionPtr revIDLastSave="0" documentId="8_{39342153-1D3B-4EBD-A5C0-B26B32BDA29A}" xr6:coauthVersionLast="47" xr6:coauthVersionMax="47" xr10:uidLastSave="{00000000-0000-0000-0000-000000000000}"/>
  <bookViews>
    <workbookView xWindow="-110" yWindow="-110" windowWidth="19420" windowHeight="10300" xr2:uid="{F31FCA10-F4F0-4E96-86D2-E3EB646A7A37}"/>
  </bookViews>
  <sheets>
    <sheet name="Sheet1.0" sheetId="1" r:id="rId1"/>
    <sheet name="Sheet1.1" sheetId="5" r:id="rId2"/>
    <sheet name="Sheet2.0" sheetId="6" r:id="rId3"/>
    <sheet name="Sheet3.0" sheetId="8" r:id="rId4"/>
    <sheet name="Sheet4.0" sheetId="9" r:id="rId5"/>
    <sheet name="Sheet5.0" sheetId="10" r:id="rId6"/>
  </sheets>
  <externalReferences>
    <externalReference r:id="rId7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8" l="1"/>
  <c r="E40" i="8"/>
  <c r="E41" i="8"/>
  <c r="E42" i="8"/>
  <c r="E43" i="8"/>
  <c r="E44" i="8"/>
  <c r="E45" i="8"/>
  <c r="E46" i="8"/>
  <c r="G50" i="8"/>
  <c r="G51" i="8"/>
  <c r="G52" i="8"/>
  <c r="G53" i="8"/>
  <c r="G54" i="8"/>
  <c r="G55" i="8"/>
  <c r="B55" i="8"/>
  <c r="G56" i="8"/>
  <c r="E50" i="8"/>
  <c r="E51" i="8"/>
  <c r="E52" i="8"/>
  <c r="E53" i="8"/>
  <c r="E54" i="8"/>
  <c r="E55" i="8"/>
  <c r="G40" i="8"/>
  <c r="G41" i="8"/>
  <c r="G42" i="8"/>
  <c r="G43" i="8"/>
  <c r="G44" i="8"/>
  <c r="G45" i="8"/>
  <c r="B45" i="8"/>
  <c r="G46" i="8"/>
  <c r="B36" i="8"/>
  <c r="G31" i="8"/>
  <c r="G32" i="8"/>
  <c r="G33" i="8"/>
  <c r="G34" i="8"/>
  <c r="G35" i="8"/>
  <c r="G36" i="8"/>
  <c r="G37" i="8"/>
  <c r="F36" i="8"/>
  <c r="E31" i="8"/>
  <c r="E32" i="8"/>
  <c r="E33" i="8"/>
  <c r="E34" i="8"/>
  <c r="E35" i="8"/>
  <c r="E36" i="8"/>
  <c r="B24" i="8"/>
  <c r="B25" i="8"/>
  <c r="B26" i="8"/>
  <c r="B27" i="8"/>
  <c r="B23" i="8"/>
  <c r="E24" i="8"/>
  <c r="F24" i="8"/>
  <c r="E25" i="8"/>
  <c r="F25" i="8"/>
  <c r="E26" i="8"/>
  <c r="F26" i="8"/>
  <c r="E27" i="8"/>
  <c r="F27" i="8"/>
  <c r="E23" i="8"/>
  <c r="F23" i="8"/>
</calcChain>
</file>

<file path=xl/sharedStrings.xml><?xml version="1.0" encoding="utf-8"?>
<sst xmlns="http://schemas.openxmlformats.org/spreadsheetml/2006/main" count="412" uniqueCount="178">
  <si>
    <t xml:space="preserve"> Test Plan</t>
  </si>
  <si>
    <t>Project Name</t>
  </si>
  <si>
    <t>Browser:</t>
  </si>
  <si>
    <t>Test Case ID</t>
  </si>
  <si>
    <t>Version:</t>
  </si>
  <si>
    <t>Written By:</t>
  </si>
  <si>
    <t>Description:</t>
  </si>
  <si>
    <t>Tested By:</t>
  </si>
  <si>
    <t>Tested On: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</si>
  <si>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</si>
  <si>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</si>
  <si>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</si>
  <si>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</si>
  <si>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</si>
  <si>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</si>
  <si>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</si>
  <si>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Student Result Processing System</t>
  </si>
  <si>
    <t>Command Line - File Input</t>
  </si>
  <si>
    <t>Himshikha Seetah</t>
  </si>
  <si>
    <t>Parse file input</t>
  </si>
  <si>
    <t>25mcmi01 Alice Johnson</t>
  </si>
  <si>
    <t>Valid input; printed in output file</t>
  </si>
  <si>
    <t>25mcmi04  VeryLongNameExceedingMaxNameLimitwwwwwwwwwwwwwwwwwwwwwwwwwwwwwwwwwwwwwwwwww</t>
  </si>
  <si>
    <t>No error msg; printed in output file</t>
  </si>
  <si>
    <t xml:space="preserve">  Bob Smith</t>
  </si>
  <si>
    <t xml:space="preserve">25mcmi03 </t>
  </si>
  <si>
    <t>VeryLongIDExceedingMaxNameLimitwwwwwwwwwwwwwwwwwwwwwwwwwwwwwwwwwwwwwwwwww Tim</t>
  </si>
  <si>
    <t>Error msg</t>
  </si>
  <si>
    <t>!@#$% Tim Johnson</t>
  </si>
  <si>
    <t>25mcmi90 Name@123</t>
  </si>
  <si>
    <t xml:space="preserve">  4 32 55</t>
  </si>
  <si>
    <t>Maths 4 32 55</t>
  </si>
  <si>
    <t>Physics 4 41 60</t>
  </si>
  <si>
    <t>Chemistry 4 30 61</t>
  </si>
  <si>
    <t>Missing subject name; error msg &amp; skip student</t>
  </si>
  <si>
    <t>Invalid minor marks; error msg &amp; skip student</t>
  </si>
  <si>
    <t>Invalid name; error msg &amp; skip student</t>
  </si>
  <si>
    <t>Missing ID; error msg &amp; skip student</t>
  </si>
  <si>
    <t>Missing name; error msg &amp; skip student</t>
  </si>
  <si>
    <t>Invalid ID; error msg &amp; skip student</t>
  </si>
  <si>
    <t>Error msg but student was not skipped - wrong parsing continued</t>
  </si>
  <si>
    <t>No error msg; skip OK</t>
  </si>
  <si>
    <t>Duplicate student ID</t>
  </si>
  <si>
    <t>Error msg &amp; skip student</t>
  </si>
  <si>
    <t>Updates to validation.c and CheckDuplicateId added</t>
  </si>
  <si>
    <t>Tests for validation functions when parsing input file</t>
  </si>
  <si>
    <t>Tests for student grading functions: ComputeStudentResult, ComputeStudentGrade</t>
  </si>
  <si>
    <t>40 60</t>
  </si>
  <si>
    <t xml:space="preserve">100  "O" </t>
  </si>
  <si>
    <t>35 50</t>
  </si>
  <si>
    <t xml:space="preserve">85  "A+" </t>
  </si>
  <si>
    <t>30 45</t>
  </si>
  <si>
    <t xml:space="preserve">75  "A" </t>
  </si>
  <si>
    <t>26 39</t>
  </si>
  <si>
    <t xml:space="preserve">65  "B+" </t>
  </si>
  <si>
    <t>24 36</t>
  </si>
  <si>
    <t xml:space="preserve">60  "B" </t>
  </si>
  <si>
    <t>22 33</t>
  </si>
  <si>
    <t xml:space="preserve">55  "C" </t>
  </si>
  <si>
    <t>20 30</t>
  </si>
  <si>
    <t xml:space="preserve">50  "D" </t>
  </si>
  <si>
    <t>19 29</t>
  </si>
  <si>
    <t xml:space="preserve">48  "F" </t>
  </si>
  <si>
    <t>0 0</t>
  </si>
  <si>
    <t xml:space="preserve">0  "F" </t>
  </si>
  <si>
    <t>39 50</t>
  </si>
  <si>
    <t xml:space="preserve">89  "A+" </t>
  </si>
  <si>
    <t>37 53</t>
  </si>
  <si>
    <t xml:space="preserve">90  "O" </t>
  </si>
  <si>
    <t>25 25</t>
  </si>
  <si>
    <t>25 24</t>
  </si>
  <si>
    <t xml:space="preserve">49  "F" </t>
  </si>
  <si>
    <t>35 55</t>
  </si>
  <si>
    <t>34 50</t>
  </si>
  <si>
    <t xml:space="preserve">84  "A" </t>
  </si>
  <si>
    <t>Parse file input with combination of given minor and major marks</t>
  </si>
  <si>
    <t xml:space="preserve">101  "O" </t>
  </si>
  <si>
    <t xml:space="preserve">86  "A+" </t>
  </si>
  <si>
    <t xml:space="preserve">76  "A" </t>
  </si>
  <si>
    <t xml:space="preserve">66  "B+" </t>
  </si>
  <si>
    <t xml:space="preserve">61  "B" </t>
  </si>
  <si>
    <t xml:space="preserve">56  "C" </t>
  </si>
  <si>
    <t xml:space="preserve">51  "D" </t>
  </si>
  <si>
    <t xml:space="preserve">90  "A+" </t>
  </si>
  <si>
    <t xml:space="preserve">91  "O" </t>
  </si>
  <si>
    <t xml:space="preserve">50  "F" </t>
  </si>
  <si>
    <t xml:space="preserve">85  "A" </t>
  </si>
  <si>
    <t>Tests for subject grading functions: ComputeSubjectResult, ComputeSubGrade</t>
  </si>
  <si>
    <t>Parse file input with combination of given minor and major marks for all subjects for 1 student</t>
  </si>
  <si>
    <t>total_marks</t>
  </si>
  <si>
    <t>percentage</t>
  </si>
  <si>
    <t>minor</t>
  </si>
  <si>
    <t>major</t>
  </si>
  <si>
    <t>Credits</t>
  </si>
  <si>
    <t>Total Credits</t>
  </si>
  <si>
    <t>GP</t>
  </si>
  <si>
    <t>CP</t>
  </si>
  <si>
    <t>CGPA</t>
  </si>
  <si>
    <t>Result: PASS, Total Marks: 500, Percentage: 100, Total Credit Points: 180, CGPA: 10</t>
  </si>
  <si>
    <t>Result: PASS, Total Marks: 500, Percentage: 100, Total Credit Points: 180, CGPA: 11</t>
  </si>
  <si>
    <t>Result: PASS, Total Marks: 425, Percentage: 85</t>
  </si>
  <si>
    <t>Result: PASS, Total Marks: 425, Percentage: 86</t>
  </si>
  <si>
    <t>Result: PASS, Total Marks: 300, Percentage: 60</t>
  </si>
  <si>
    <t>Result: PASS, Total Marks: 275, Percentage: 55</t>
  </si>
  <si>
    <t>Result: PASS, Total Marks: 250, Percentage: 50</t>
  </si>
  <si>
    <t>Percentage</t>
  </si>
  <si>
    <t>Result: FAIL, Total Marks: 240, Percentage: 19.2, Total Credit Points: 0, CGPA: 0</t>
  </si>
  <si>
    <t>Class Statistics</t>
  </si>
  <si>
    <t>The previous set of marks in sheet 3.0 is given as file input</t>
  </si>
  <si>
    <t>24mcmi07 Ru Neo</t>
  </si>
  <si>
    <t>Maths 4 40 60</t>
  </si>
  <si>
    <t>Physics 4 40 60</t>
  </si>
  <si>
    <t>Psychology 4 40 60</t>
  </si>
  <si>
    <t>Biology 3 40 60</t>
  </si>
  <si>
    <t>English 3 40 60</t>
  </si>
  <si>
    <t>24mcmi02 David</t>
  </si>
  <si>
    <t>Maths 4 35 50</t>
  </si>
  <si>
    <t>Physics 4 35 50</t>
  </si>
  <si>
    <t>Chemistry 4 35 50</t>
  </si>
  <si>
    <t>Biology 3 35 50</t>
  </si>
  <si>
    <t>English 3 35 50</t>
  </si>
  <si>
    <t>25MCMT01 H Joe</t>
  </si>
  <si>
    <t>Maths 4 24 36</t>
  </si>
  <si>
    <t>Physics 4 24 36</t>
  </si>
  <si>
    <t>Chemistry 4 24 36</t>
  </si>
  <si>
    <t>Biology 3 24 36</t>
  </si>
  <si>
    <t>English 3 24 36</t>
  </si>
  <si>
    <t>24mcmi100 Tom Jim</t>
  </si>
  <si>
    <t>Maths 4 22 33</t>
  </si>
  <si>
    <t>Physics 4 22 33</t>
  </si>
  <si>
    <t>Psychology 4 22 33</t>
  </si>
  <si>
    <t>Biology 3 22 33</t>
  </si>
  <si>
    <t>English 3 22 33</t>
  </si>
  <si>
    <t>24mpmi02 Ela</t>
  </si>
  <si>
    <t>Maths 4 20 30</t>
  </si>
  <si>
    <t>Physics 4 20 30</t>
  </si>
  <si>
    <t>Chemistry 4 20 30</t>
  </si>
  <si>
    <t>Biology 3 20 30</t>
  </si>
  <si>
    <t>English 3 20 30</t>
  </si>
  <si>
    <t>25MCMT65 Uma Ali</t>
  </si>
  <si>
    <t>Maths 4 19 29</t>
  </si>
  <si>
    <t>Physics 4 19 29</t>
  </si>
  <si>
    <t>Chemistry 4 0 0</t>
  </si>
  <si>
    <t>Biology 3 0 0</t>
  </si>
  <si>
    <t>English 3 0 0</t>
  </si>
  <si>
    <t>Input file:</t>
  </si>
  <si>
    <t>shown below</t>
  </si>
  <si>
    <t>Class average</t>
  </si>
  <si>
    <t>class average: 61.53, Highest %: 100, Lowest %: 0</t>
  </si>
  <si>
    <t>class average: 61.53, Highest %: 100, Lowest %: 1</t>
  </si>
  <si>
    <t>Grade Distribution:</t>
  </si>
  <si>
    <t>O : 1</t>
  </si>
  <si>
    <t>A+: 1</t>
  </si>
  <si>
    <t>A : 0</t>
  </si>
  <si>
    <t>B+: 0</t>
  </si>
  <si>
    <t>B : 1</t>
  </si>
  <si>
    <t>C : 1</t>
  </si>
  <si>
    <t>D : 1</t>
  </si>
  <si>
    <t>F : 1</t>
  </si>
  <si>
    <t>Report Layout</t>
  </si>
  <si>
    <t>Locate output text file with given name: test10.txt</t>
  </si>
  <si>
    <t>test10.txt</t>
  </si>
  <si>
    <t>File with name test10.txt present</t>
  </si>
  <si>
    <t xml:space="preserve">Open file </t>
  </si>
  <si>
    <t>None</t>
  </si>
  <si>
    <t>File opens without error or warning and contains text</t>
  </si>
  <si>
    <t>Check file content</t>
  </si>
  <si>
    <t>Header: STUDENT RESULTS</t>
  </si>
  <si>
    <t>Student result list in format:</t>
  </si>
  <si>
    <t>1. Student: &lt;student_id&gt; (student_name)</t>
  </si>
  <si>
    <t>2.Results data table of 5 subjects with header row: Subject, Minor, Major, Total, Credits, CPts, Grade, GPts, Result</t>
  </si>
  <si>
    <t>3. Result Summary: Total Marks, Percentage, Total Credit Points, CGPA</t>
  </si>
  <si>
    <t>4. Student List ends with second header: CLASS STATISTICS</t>
  </si>
  <si>
    <t>5. Class Stats: Class Average Percentage, Highest Percentage, Lowest Percentage</t>
  </si>
  <si>
    <t>6. Grade Distribution List</t>
  </si>
  <si>
    <t>7. 8 Grades listed with corresponding frequency values</t>
  </si>
  <si>
    <t>Report layout as expected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</si>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</sst>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0" fontId="0" fillId="5" borderId="1" xfId="0" applyFill="1" applyBorder="1"/>
    <xf numFmtId="16" fontId="0" fillId="5" borderId="1" xfId="0" applyNumberFormat="1" applyFill="1" applyBorder="1"/>
    <xf numFmtId="0" fontId="0" fillId="5" borderId="0" xfId="0" applyFill="1"/>
    <xf numFmtId="0" fontId="0" fillId="0" borderId="1" xfId="0" applyBorder="1" applyAlignment="1">
      <alignment wrapText="1"/>
    </xf>
    <xf numFmtId="0" fontId="0" fillId="2" borderId="1" xfId="0" applyFill="1" applyBorder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[1]Sheet2!$A$11" lockText="1" noThreeD="1"/>
</file>

<file path=xl/ctrlProps/ctrlProp2.xml><?xml version="1.0" encoding="utf-8"?>
<formControlPr xmlns="http://schemas.microsoft.com/office/spreadsheetml/2009/9/main" objectType="CheckBox" checked="Checked" fmlaLink="[1]Sheet2!$A$12" lockText="1" noThreeD="1"/>
</file>

<file path=xl/ctrlProps/ctrlProp3.xml><?xml version="1.0" encoding="utf-8"?>
<formControlPr xmlns="http://schemas.microsoft.com/office/spreadsheetml/2009/9/main" objectType="CheckBox" checked="Checked" fmlaLink="[1]Sheet2!$A$13" lockText="1" noThreeD="1"/>
</file>

<file path=xl/ctrlProps/ctrlProp4.xml><?xml version="1.0" encoding="utf-8"?>
<formControlPr xmlns="http://schemas.microsoft.com/office/spreadsheetml/2009/9/main" objectType="CheckBox" checked="Checked" fmlaLink="[1]Sheet2!$A$14" lockText="1" noThreeD="1"/>
</file>

<file path=xl/ctrlProps/ctrlProp5.xml><?xml version="1.0" encoding="utf-8"?>
<formControlPr xmlns="http://schemas.microsoft.com/office/spreadsheetml/2009/9/main" objectType="CheckBox" checked="Checked" fmlaLink="[1]Sheet2!$A$15" lockText="1" noThreeD="1"/>
</file>

<file path=xl/ctrlProps/ctrlProp6.xml><?xml version="1.0" encoding="utf-8"?>
<formControlPr xmlns="http://schemas.microsoft.com/office/spreadsheetml/2009/9/main" objectType="CheckBox" checked="Checked" fmlaLink="[1]Sheet2!$A$16" lockText="1" noThreeD="1"/>
</file>

<file path=xl/ctrlProps/ctrlProp7.xml><?xml version="1.0" encoding="utf-8"?>
<formControlPr xmlns="http://schemas.microsoft.com/office/spreadsheetml/2009/9/main" objectType="CheckBox" checked="Checked" fmlaLink="[1]Sheet2!$A$17" lockText="1" noThreeD="1"/>
</file>

<file path=xl/ctrlProps/ctrlProp8.xml><?xml version="1.0" encoding="utf-8"?>
<formControlPr xmlns="http://schemas.microsoft.com/office/spreadsheetml/2009/9/main" objectType="CheckBox" checked="Checked" fmlaLink="[1]Sheet2!$A$18" lockText="1" noThreeD="1"/>
</file>

<file path=xl/ctrlProps/ctrlProp9.xml><?xml version="1.0" encoding="utf-8"?>
<formControlPr xmlns="http://schemas.microsoft.com/office/spreadsheetml/2009/9/main" objectType="CheckBox" fmlaLink="[1]Sheet2!$A$19" lockText="1" noThreeD="1"/>
</file>

<file path=xl/ctrlProps/ctrlProp10.xml><?xml version="1.0" encoding="utf-8"?>
<formControlPr xmlns="http://schemas.microsoft.com/office/spreadsheetml/2009/9/main" objectType="CheckBox" checked="Checked" fmlaLink="[1]Sheet2!$A$20" lockText="1" noThreeD="1"/>
</file>

<file path=xl/ctrlProps/ctrlProp11.xml><?xml version="1.0" encoding="utf-8"?>
<formControlPr xmlns="http://schemas.microsoft.com/office/spreadsheetml/2009/9/main" objectType="CheckBox" checked="Checked" fmlaLink="[1]Sheet2!$A$21" lockText="1" noThreeD="1"/>
</file>

<file path=xl/ctrlProps/ctrlProp12.xml><?xml version="1.0" encoding="utf-8"?>
<formControlPr xmlns="http://schemas.microsoft.com/office/spreadsheetml/2009/9/main" objectType="CheckBox" checked="Checked" fmlaLink="[1]Sheet2!$A$22" lockText="1" noThreeD="1"/>
</file>

<file path=xl/ctrlProps/ctrlProp13.xml><?xml version="1.0" encoding="utf-8"?>
<formControlPr xmlns="http://schemas.microsoft.com/office/spreadsheetml/2009/9/main" objectType="CheckBox" checked="Checked" fmlaLink="[1]Sheet2!$A$23" lockText="1" noThreeD="1"/>
</file>

<file path=xl/ctrlProps/ctrlProp14.xml><?xml version="1.0" encoding="utf-8"?>
<formControlPr xmlns="http://schemas.microsoft.com/office/spreadsheetml/2009/9/main" objectType="CheckBox" checked="Checked" fmlaLink="[1]Sheet2!$A$24" lockText="1" noThreeD="1"/>
</file>

<file path=xl/ctrlProps/ctrlProp15.xml><?xml version="1.0" encoding="utf-8"?>
<formControlPr xmlns="http://schemas.microsoft.com/office/spreadsheetml/2009/9/main" objectType="CheckBox" checked="Checked" fmlaLink="[1]Sheet2!$A$25" lockText="1" noThreeD="1"/>
</file>

<file path=xl/ctrlProps/ctrlProp16.xml><?xml version="1.0" encoding="utf-8"?>
<formControlPr xmlns="http://schemas.microsoft.com/office/spreadsheetml/2009/9/main" objectType="CheckBox" checked="Checked" fmlaLink="[1]Sheet2!$A$11" lockText="1" noThreeD="1"/>
</file>

<file path=xl/ctrlProps/ctrlProp17.xml><?xml version="1.0" encoding="utf-8"?>
<formControlPr xmlns="http://schemas.microsoft.com/office/spreadsheetml/2009/9/main" objectType="CheckBox" checked="Checked" fmlaLink="[1]Sheet2!$A$12" lockText="1" noThreeD="1"/>
</file>

<file path=xl/ctrlProps/ctrlProp18.xml><?xml version="1.0" encoding="utf-8"?>
<formControlPr xmlns="http://schemas.microsoft.com/office/spreadsheetml/2009/9/main" objectType="CheckBox" checked="Checked" fmlaLink="[1]Sheet2!$A$13" lockText="1" noThreeD="1"/>
</file>

<file path=xl/ctrlProps/ctrlProp19.xml><?xml version="1.0" encoding="utf-8"?>
<formControlPr xmlns="http://schemas.microsoft.com/office/spreadsheetml/2009/9/main" objectType="CheckBox" checked="Checked" fmlaLink="[1]Sheet2!$A$14" lockText="1" noThreeD="1"/>
</file>

<file path=xl/ctrlProps/ctrlProp20.xml><?xml version="1.0" encoding="utf-8"?>
<formControlPr xmlns="http://schemas.microsoft.com/office/spreadsheetml/2009/9/main" objectType="CheckBox" checked="Checked" fmlaLink="[1]Sheet2!$A$15" lockText="1" noThreeD="1"/>
</file>

<file path=xl/ctrlProps/ctrlProp21.xml><?xml version="1.0" encoding="utf-8"?>
<formControlPr xmlns="http://schemas.microsoft.com/office/spreadsheetml/2009/9/main" objectType="CheckBox" checked="Checked" fmlaLink="[1]Sheet2!$A$16" lockText="1" noThreeD="1"/>
</file>

<file path=xl/ctrlProps/ctrlProp22.xml><?xml version="1.0" encoding="utf-8"?>
<formControlPr xmlns="http://schemas.microsoft.com/office/spreadsheetml/2009/9/main" objectType="CheckBox" checked="Checked" fmlaLink="[1]Sheet2!$A$17" lockText="1" noThreeD="1"/>
</file>

<file path=xl/ctrlProps/ctrlProp23.xml><?xml version="1.0" encoding="utf-8"?>
<formControlPr xmlns="http://schemas.microsoft.com/office/spreadsheetml/2009/9/main" objectType="CheckBox" checked="Checked" fmlaLink="[1]Sheet2!$A$18" lockText="1" noThreeD="1"/>
</file>

<file path=xl/ctrlProps/ctrlProp24.xml><?xml version="1.0" encoding="utf-8"?>
<formControlPr xmlns="http://schemas.microsoft.com/office/spreadsheetml/2009/9/main" objectType="CheckBox" fmlaLink="[1]Sheet2!$A$19" lockText="1" noThreeD="1"/>
</file>

<file path=xl/ctrlProps/ctrlProp25.xml><?xml version="1.0" encoding="utf-8"?>
<formControlPr xmlns="http://schemas.microsoft.com/office/spreadsheetml/2009/9/main" objectType="CheckBox" checked="Checked" fmlaLink="[1]Sheet2!$A$20" lockText="1" noThreeD="1"/>
</file>

<file path=xl/ctrlProps/ctrlProp26.xml><?xml version="1.0" encoding="utf-8"?>
<formControlPr xmlns="http://schemas.microsoft.com/office/spreadsheetml/2009/9/main" objectType="CheckBox" checked="Checked" fmlaLink="[1]Sheet2!$A$21" lockText="1" noThreeD="1"/>
</file>

<file path=xl/ctrlProps/ctrlProp27.xml><?xml version="1.0" encoding="utf-8"?>
<formControlPr xmlns="http://schemas.microsoft.com/office/spreadsheetml/2009/9/main" objectType="CheckBox" checked="Checked" fmlaLink="[1]Sheet2!$A$22" lockText="1" noThreeD="1"/>
</file>

<file path=xl/ctrlProps/ctrlProp28.xml><?xml version="1.0" encoding="utf-8"?>
<formControlPr xmlns="http://schemas.microsoft.com/office/spreadsheetml/2009/9/main" objectType="CheckBox" checked="Checked" fmlaLink="[1]Sheet2!$A$23" lockText="1" noThreeD="1"/>
</file>

<file path=xl/ctrlProps/ctrlProp29.xml><?xml version="1.0" encoding="utf-8"?>
<formControlPr xmlns="http://schemas.microsoft.com/office/spreadsheetml/2009/9/main" objectType="CheckBox" checked="Checked" fmlaLink="[1]Sheet2!$A$24" lockText="1" noThreeD="1"/>
</file>

<file path=xl/ctrlProps/ctrlProp30.xml><?xml version="1.0" encoding="utf-8"?>
<formControlPr xmlns="http://schemas.microsoft.com/office/spreadsheetml/2009/9/main" objectType="CheckBox" checked="Checked" fmlaLink="[1]Sheet2!$A$25" lockText="1" noThreeD="1"/>
</file>

<file path=xl/ctrlProps/ctrlProp31.xml><?xml version="1.0" encoding="utf-8"?>
<formControlPr xmlns="http://schemas.microsoft.com/office/spreadsheetml/2009/9/main" objectType="CheckBox" checked="Checked" fmlaLink="[1]Sheet2!$A$11" lockText="1" noThreeD="1"/>
</file>

<file path=xl/ctrlProps/ctrlProp32.xml><?xml version="1.0" encoding="utf-8"?>
<formControlPr xmlns="http://schemas.microsoft.com/office/spreadsheetml/2009/9/main" objectType="CheckBox" checked="Checked" fmlaLink="[1]Sheet2!$A$12" lockText="1" noThreeD="1"/>
</file>

<file path=xl/ctrlProps/ctrlProp33.xml><?xml version="1.0" encoding="utf-8"?>
<formControlPr xmlns="http://schemas.microsoft.com/office/spreadsheetml/2009/9/main" objectType="CheckBox" checked="Checked" fmlaLink="[1]Sheet2!$A$13" lockText="1" noThreeD="1"/>
</file>

<file path=xl/ctrlProps/ctrlProp34.xml><?xml version="1.0" encoding="utf-8"?>
<formControlPr xmlns="http://schemas.microsoft.com/office/spreadsheetml/2009/9/main" objectType="CheckBox" checked="Checked" fmlaLink="[1]Sheet2!$A$14" lockText="1" noThreeD="1"/>
</file>

<file path=xl/ctrlProps/ctrlProp35.xml><?xml version="1.0" encoding="utf-8"?>
<formControlPr xmlns="http://schemas.microsoft.com/office/spreadsheetml/2009/9/main" objectType="CheckBox" checked="Checked" fmlaLink="[1]Sheet2!$A$15" lockText="1" noThreeD="1"/>
</file>

<file path=xl/ctrlProps/ctrlProp36.xml><?xml version="1.0" encoding="utf-8"?>
<formControlPr xmlns="http://schemas.microsoft.com/office/spreadsheetml/2009/9/main" objectType="CheckBox" checked="Checked" fmlaLink="[1]Sheet2!$A$16" lockText="1" noThreeD="1"/>
</file>

<file path=xl/ctrlProps/ctrlProp37.xml><?xml version="1.0" encoding="utf-8"?>
<formControlPr xmlns="http://schemas.microsoft.com/office/spreadsheetml/2009/9/main" objectType="CheckBox" checked="Checked" fmlaLink="[1]Sheet2!$A$17" lockText="1" noThreeD="1"/>
</file>

<file path=xl/ctrlProps/ctrlProp38.xml><?xml version="1.0" encoding="utf-8"?>
<formControlPr xmlns="http://schemas.microsoft.com/office/spreadsheetml/2009/9/main" objectType="CheckBox" checked="Checked" fmlaLink="[1]Sheet2!$A$18" lockText="1" noThreeD="1"/>
</file>

<file path=xl/ctrlProps/ctrlProp39.xml><?xml version="1.0" encoding="utf-8"?>
<formControlPr xmlns="http://schemas.microsoft.com/office/spreadsheetml/2009/9/main" objectType="CheckBox" fmlaLink="[1]Sheet2!$A$19" lockText="1" noThreeD="1"/>
</file>

<file path=xl/ctrlProps/ctrlProp40.xml><?xml version="1.0" encoding="utf-8"?>
<formControlPr xmlns="http://schemas.microsoft.com/office/spreadsheetml/2009/9/main" objectType="CheckBox" checked="Checked" fmlaLink="[1]Sheet2!$A$20" lockText="1" noThreeD="1"/>
</file>

<file path=xl/ctrlProps/ctrlProp41.xml><?xml version="1.0" encoding="utf-8"?>
<formControlPr xmlns="http://schemas.microsoft.com/office/spreadsheetml/2009/9/main" objectType="CheckBox" checked="Checked" fmlaLink="[1]Sheet2!$A$21" lockText="1" noThreeD="1"/>
</file>

<file path=xl/ctrlProps/ctrlProp42.xml><?xml version="1.0" encoding="utf-8"?>
<formControlPr xmlns="http://schemas.microsoft.com/office/spreadsheetml/2009/9/main" objectType="CheckBox" checked="Checked" fmlaLink="[1]Sheet2!$A$22" lockText="1" noThreeD="1"/>
</file>

<file path=xl/ctrlProps/ctrlProp43.xml><?xml version="1.0" encoding="utf-8"?>
<formControlPr xmlns="http://schemas.microsoft.com/office/spreadsheetml/2009/9/main" objectType="CheckBox" checked="Checked" fmlaLink="[1]Sheet2!$A$23" lockText="1" noThreeD="1"/>
</file>

<file path=xl/ctrlProps/ctrlProp44.xml><?xml version="1.0" encoding="utf-8"?>
<formControlPr xmlns="http://schemas.microsoft.com/office/spreadsheetml/2009/9/main" objectType="CheckBox" checked="Checked" fmlaLink="[1]Sheet2!$A$24" lockText="1" noThreeD="1"/>
</file>

<file path=xl/ctrlProps/ctrlProp45.xml><?xml version="1.0" encoding="utf-8"?>
<formControlPr xmlns="http://schemas.microsoft.com/office/spreadsheetml/2009/9/main" objectType="CheckBox" checked="Checked" fmlaLink="[1]Sheet2!$A$25" lockText="1" noThreeD="1"/>
</file>

<file path=xl/ctrlProps/ctrlProp46.xml><?xml version="1.0" encoding="utf-8"?>
<formControlPr xmlns="http://schemas.microsoft.com/office/spreadsheetml/2009/9/main" objectType="CheckBox" checked="Checked" fmlaLink="[1]Sheet2!$A$23" lockText="1" noThreeD="1"/>
</file>

<file path=xl/ctrlProps/ctrlProp47.xml><?xml version="1.0" encoding="utf-8"?>
<formControlPr xmlns="http://schemas.microsoft.com/office/spreadsheetml/2009/9/main" objectType="CheckBox" checked="Checked" fmlaLink="[1]Sheet2!$A$24" lockText="1" noThreeD="1"/>
</file>

<file path=xl/ctrlProps/ctrlProp48.xml><?xml version="1.0" encoding="utf-8"?>
<formControlPr xmlns="http://schemas.microsoft.com/office/spreadsheetml/2009/9/main" objectType="CheckBox" checked="Checked" fmlaLink="[1]Sheet2!$A$11" lockText="1" noThreeD="1"/>
</file>

<file path=xl/ctrlProps/ctrlProp49.xml><?xml version="1.0" encoding="utf-8"?>
<formControlPr xmlns="http://schemas.microsoft.com/office/spreadsheetml/2009/9/main" objectType="CheckBox" checked="Checked" fmlaLink="[1]Sheet2!$A$12" lockText="1" noThreeD="1"/>
</file>

<file path=xl/ctrlProps/ctrlProp50.xml><?xml version="1.0" encoding="utf-8"?>
<formControlPr xmlns="http://schemas.microsoft.com/office/spreadsheetml/2009/9/main" objectType="CheckBox" checked="Checked" fmlaLink="[1]Sheet2!$A$13" lockText="1" noThreeD="1"/>
</file>

<file path=xl/ctrlProps/ctrlProp51.xml><?xml version="1.0" encoding="utf-8"?>
<formControlPr xmlns="http://schemas.microsoft.com/office/spreadsheetml/2009/9/main" objectType="CheckBox" checked="Checked" fmlaLink="[1]Sheet2!$A$14" lockText="1" noThreeD="1"/>
</file>

<file path=xl/ctrlProps/ctrlProp52.xml><?xml version="1.0" encoding="utf-8"?>
<formControlPr xmlns="http://schemas.microsoft.com/office/spreadsheetml/2009/9/main" objectType="CheckBox" checked="Checked" fmlaLink="[1]Sheet2!$A$15" lockText="1" noThreeD="1"/>
</file>

<file path=xl/ctrlProps/ctrlProp53.xml><?xml version="1.0" encoding="utf-8"?>
<formControlPr xmlns="http://schemas.microsoft.com/office/spreadsheetml/2009/9/main" objectType="CheckBox" checked="Checked" fmlaLink="[1]Sheet2!$A$16" lockText="1" noThreeD="1"/>
</file>

<file path=xl/ctrlProps/ctrlProp54.xml><?xml version="1.0" encoding="utf-8"?>
<formControlPr xmlns="http://schemas.microsoft.com/office/spreadsheetml/2009/9/main" objectType="CheckBox" checked="Checked" fmlaLink="[1]Sheet2!$A$17" lockText="1" noThreeD="1"/>
</file>

<file path=xl/ctrlProps/ctrlProp55.xml><?xml version="1.0" encoding="utf-8"?>
<formControlPr xmlns="http://schemas.microsoft.com/office/spreadsheetml/2009/9/main" objectType="CheckBox" checked="Checked" fmlaLink="[1]Sheet2!$A$18" lockText="1" noThreeD="1"/>
</file>

<file path=xl/ctrlProps/ctrlProp56.xml><?xml version="1.0" encoding="utf-8"?>
<formControlPr xmlns="http://schemas.microsoft.com/office/spreadsheetml/2009/9/main" objectType="CheckBox" fmlaLink="[1]Sheet2!$A$19" lockText="1" noThreeD="1"/>
</file>

<file path=xl/ctrlProps/ctrlProp57.xml><?xml version="1.0" encoding="utf-8"?>
<formControlPr xmlns="http://schemas.microsoft.com/office/spreadsheetml/2009/9/main" objectType="CheckBox" checked="Checked" fmlaLink="[1]Sheet2!$A$20" lockText="1" noThreeD="1"/>
</file>

<file path=xl/ctrlProps/ctrlProp58.xml><?xml version="1.0" encoding="utf-8"?>
<formControlPr xmlns="http://schemas.microsoft.com/office/spreadsheetml/2009/9/main" objectType="CheckBox" checked="Checked" fmlaLink="[1]Sheet2!$A$21" lockText="1" noThreeD="1"/>
</file>

<file path=xl/ctrlProps/ctrlProp59.xml><?xml version="1.0" encoding="utf-8"?>
<formControlPr xmlns="http://schemas.microsoft.com/office/spreadsheetml/2009/9/main" objectType="CheckBox" checked="Checked" fmlaLink="[1]Sheet2!$A$22" lockText="1" noThreeD="1"/>
</file>

<file path=xl/ctrlProps/ctrlProp60.xml><?xml version="1.0" encoding="utf-8"?>
<formControlPr xmlns="http://schemas.microsoft.com/office/spreadsheetml/2009/9/main" objectType="CheckBox" checked="Checked" fmlaLink="[1]Sheet2!$A$23" lockText="1" noThreeD="1"/>
</file>

<file path=xl/ctrlProps/ctrlProp61.xml><?xml version="1.0" encoding="utf-8"?>
<formControlPr xmlns="http://schemas.microsoft.com/office/spreadsheetml/2009/9/main" objectType="CheckBox" checked="Checked" fmlaLink="[1]Sheet2!$A$24" lockText="1" noThreeD="1"/>
</file>

<file path=xl/ctrlProps/ctrlProp62.xml><?xml version="1.0" encoding="utf-8"?>
<formControlPr xmlns="http://schemas.microsoft.com/office/spreadsheetml/2009/9/main" objectType="CheckBox" checked="Checked" fmlaLink="[1]Sheet2!$A$25" lockText="1" noThreeD="1"/>
</file>

<file path=xl/ctrlProps/ctrlProp63.xml><?xml version="1.0" encoding="utf-8"?>
<formControlPr xmlns="http://schemas.microsoft.com/office/spreadsheetml/2009/9/main" objectType="CheckBox" checked="Checked" fmlaLink="[1]Sheet2!$A$23" lockText="1" noThreeD="1"/>
</file>

<file path=xl/ctrlProps/ctrlProp64.xml><?xml version="1.0" encoding="utf-8"?>
<formControlPr xmlns="http://schemas.microsoft.com/office/spreadsheetml/2009/9/main" objectType="CheckBox" checked="Checked" fmlaLink="[1]Sheet2!$A$24" lockText="1" noThreeD="1"/>
</file>

<file path=xl/ctrlProps/ctrlProp65.xml><?xml version="1.0" encoding="utf-8"?>
<formControlPr xmlns="http://schemas.microsoft.com/office/spreadsheetml/2009/9/main" objectType="CheckBox" checked="Checked" fmlaLink="[1]Sheet2!$A$13" lockText="1" noThreeD="1"/>
</file>

<file path=xl/ctrlProps/ctrlProp66.xml><?xml version="1.0" encoding="utf-8"?>
<formControlPr xmlns="http://schemas.microsoft.com/office/spreadsheetml/2009/9/main" objectType="CheckBox" checked="Checked" fmlaLink="[1]Sheet2!$A$15" lockText="1" noThreeD="1"/>
</file>

<file path=xl/ctrlProps/ctrlProp67.xml><?xml version="1.0" encoding="utf-8"?>
<formControlPr xmlns="http://schemas.microsoft.com/office/spreadsheetml/2009/9/main" objectType="CheckBox" checked="Checked" fmlaLink="[1]Sheet2!$A$16" lockText="1" noThreeD="1"/>
</file>

<file path=xl/ctrlProps/ctrlProp68.xml><?xml version="1.0" encoding="utf-8"?>
<formControlPr xmlns="http://schemas.microsoft.com/office/spreadsheetml/2009/9/main" objectType="CheckBox" checked="Checked" fmlaLink="[1]Sheet2!$A$17" lockText="1" noThreeD="1"/>
</file>

<file path=xl/ctrlProps/ctrlProp69.xml><?xml version="1.0" encoding="utf-8"?>
<formControlPr xmlns="http://schemas.microsoft.com/office/spreadsheetml/2009/9/main" objectType="CheckBox" checked="Checked" fmlaLink="[1]Sheet2!$A$18" lockText="1" noThreeD="1"/>
</file>

<file path=xl/ctrlProps/ctrlProp70.xml><?xml version="1.0" encoding="utf-8"?>
<formControlPr xmlns="http://schemas.microsoft.com/office/spreadsheetml/2009/9/main" objectType="CheckBox" fmlaLink="[1]Sheet2!$A$19" lockText="1" noThreeD="1"/>
</file>

<file path=xl/ctrlProps/ctrlProp71.xml><?xml version="1.0" encoding="utf-8"?>
<formControlPr xmlns="http://schemas.microsoft.com/office/spreadsheetml/2009/9/main" objectType="CheckBox" checked="Checked" fmlaLink="[1]Sheet2!$A$20" lockText="1" noThreeD="1"/>
</file>

<file path=xl/ctrlProps/ctrlProp72.xml><?xml version="1.0" encoding="utf-8"?>
<formControlPr xmlns="http://schemas.microsoft.com/office/spreadsheetml/2009/9/main" objectType="CheckBox" checked="Checked" fmlaLink="[1]Sheet2!$A$21" lockText="1" noThreeD="1"/>
</file>

<file path=xl/ctrlProps/ctrlProp73.xml><?xml version="1.0" encoding="utf-8"?>
<formControlPr xmlns="http://schemas.microsoft.com/office/spreadsheetml/2009/9/main" objectType="CheckBox" checked="Checked" fmlaLink="[1]Sheet2!$A$22" lockText="1" noThreeD="1"/>
</file>

<file path=xl/ctrlProps/ctrlProp74.xml><?xml version="1.0" encoding="utf-8"?>
<formControlPr xmlns="http://schemas.microsoft.com/office/spreadsheetml/2009/9/main" objectType="CheckBox" checked="Checked" fmlaLink="[1]Sheet2!$A$23" lockText="1" noThreeD="1"/>
</file>

<file path=xl/ctrlProps/ctrlProp75.xml><?xml version="1.0" encoding="utf-8"?>
<formControlPr xmlns="http://schemas.microsoft.com/office/spreadsheetml/2009/9/main" objectType="CheckBox" checked="Checked" fmlaLink="[1]Sheet2!$A$24" lockText="1" noThreeD="1"/>
</file>

<file path=xl/ctrlProps/ctrlProp76.xml><?xml version="1.0" encoding="utf-8"?>
<formControlPr xmlns="http://schemas.microsoft.com/office/spreadsheetml/2009/9/main" objectType="CheckBox" checked="Checked" fmlaLink="[1]Sheet2!$A$25" lockText="1" noThreeD="1"/>
</file>

<file path=xl/ctrlProps/ctrlProp77.xml><?xml version="1.0" encoding="utf-8"?>
<formControlPr xmlns="http://schemas.microsoft.com/office/spreadsheetml/2009/9/main" objectType="CheckBox" checked="Checked" fmlaLink="[1]Sheet2!$A$23" lockText="1" noThreeD="1"/>
</file>

<file path=xl/ctrlProps/ctrlProp78.xml><?xml version="1.0" encoding="utf-8"?>
<formControlPr xmlns="http://schemas.microsoft.com/office/spreadsheetml/2009/9/main" objectType="CheckBox" checked="Checked" fmlaLink="[1]Sheet2!$A$24" lockText="1" noThreeD="1"/>
</file>

<file path=xl/ctrlProps/ctrlProp79.xml><?xml version="1.0" encoding="utf-8"?>
<formControlPr xmlns="http://schemas.microsoft.com/office/spreadsheetml/2009/9/main" objectType="CheckBox" checked="Checked" fmlaLink="[1]Sheet2!$A$11" lockText="1" noThreeD="1"/>
</file>

<file path=xl/ctrlProps/ctrlProp80.xml><?xml version="1.0" encoding="utf-8"?>
<formControlPr xmlns="http://schemas.microsoft.com/office/spreadsheetml/2009/9/main" objectType="CheckBox" checked="Checked" fmlaLink="[1]Sheet2!$A$12" lockText="1" noThreeD="1"/>
</file>

<file path=xl/ctrlProps/ctrlProp81.xml><?xml version="1.0" encoding="utf-8"?>
<formControlPr xmlns="http://schemas.microsoft.com/office/spreadsheetml/2009/9/main" objectType="CheckBox" checked="Checked" fmlaLink="[1]Sheet2!$A$14" lockText="1" noThreeD="1"/>
</file>

<file path=xl/ctrlProps/ctrlProp82.xml><?xml version="1.0" encoding="utf-8"?>
<formControlPr xmlns="http://schemas.microsoft.com/office/spreadsheetml/2009/9/main" objectType="CheckBox" checked="Checked" fmlaLink="[1]Sheet2!$A$14" lockText="1" noThreeD="1"/>
</file>

<file path=xl/ctrlProps/ctrlProp83.xml><?xml version="1.0" encoding="utf-8"?>
<formControlPr xmlns="http://schemas.microsoft.com/office/spreadsheetml/2009/9/main" objectType="CheckBox" checked="Checked" fmlaLink="[1]Sheet2!$A$11" lockText="1" noThreeD="1"/>
</file>

<file path=xl/ctrlProps/ctrlProp84.xml><?xml version="1.0" encoding="utf-8"?>
<formControlPr xmlns="http://schemas.microsoft.com/office/spreadsheetml/2009/9/main" objectType="CheckBox" checked="Checked" fmlaLink="[1]Sheet2!$A$12" lockText="1" noThreeD="1"/>
</file>

<file path=xl/ctrlProps/ctrlProp85.xml><?xml version="1.0" encoding="utf-8"?>
<formControlPr xmlns="http://schemas.microsoft.com/office/spreadsheetml/2009/9/main" objectType="CheckBox" checked="Checked" fmlaLink="[1]Sheet2!$A$13" lockText="1" noThreeD="1"/>
</file>

<file path=xl/ctrlProps/ctrlProp86.xml><?xml version="1.0" encoding="utf-8"?>
<formControlPr xmlns="http://schemas.microsoft.com/office/spreadsheetml/2009/9/main" objectType="CheckBox" checked="Checked" fmlaLink="[1]Sheet2!$A$14" lockText="1" noThreeD="1"/>
</file>

<file path=xl/ctrlProps/ctrlProp87.xml><?xml version="1.0" encoding="utf-8"?>
<formControlPr xmlns="http://schemas.microsoft.com/office/spreadsheetml/2009/9/main" objectType="CheckBox" checked="Checked" fmlaLink="[1]Sheet2!$A$15" lockText="1" noThreeD="1"/>
</file>

<file path=xl/ctrlProps/ctrlProp88.xml><?xml version="1.0" encoding="utf-8"?>
<formControlPr xmlns="http://schemas.microsoft.com/office/spreadsheetml/2009/9/main" objectType="CheckBox" checked="Checked" fmlaLink="[1]Sheet2!$A$16" lockText="1" noThreeD="1"/>
</file>

<file path=xl/ctrlProps/ctrlProp89.xml><?xml version="1.0" encoding="utf-8"?>
<formControlPr xmlns="http://schemas.microsoft.com/office/spreadsheetml/2009/9/main" objectType="CheckBox" checked="Checked" fmlaLink="[1]Sheet2!$A$17" lockText="1" noThreeD="1"/>
</file>

<file path=xl/ctrlProps/ctrlProp90.xml><?xml version="1.0" encoding="utf-8"?>
<formControlPr xmlns="http://schemas.microsoft.com/office/spreadsheetml/2009/9/main" objectType="CheckBox" checked="Checked" fmlaLink="[1]Sheet2!$A$18" lockText="1" noThreeD="1"/>
</file>

<file path=xl/ctrlProps/ctrlProp91.xml><?xml version="1.0" encoding="utf-8"?>
<formControlPr xmlns="http://schemas.microsoft.com/office/spreadsheetml/2009/9/main" objectType="CheckBox" fmlaLink="[1]Sheet2!$A$19" lockText="1" noThreeD="1"/>
</file>

<file path=xl/ctrlProps/ctrlProp92.xml><?xml version="1.0" encoding="utf-8"?>
<formControlPr xmlns="http://schemas.microsoft.com/office/spreadsheetml/2009/9/main" objectType="CheckBox" checked="Checked" fmlaLink="[1]Sheet2!$A$20" lockText="1" noThreeD="1"/>
</file>

<file path=xl/ctrlProps/ctrlProp93.xml><?xml version="1.0" encoding="utf-8"?>
<formControlPr xmlns="http://schemas.microsoft.com/office/spreadsheetml/2009/9/main" objectType="CheckBox" checked="Checked" fmlaLink="[1]Sheet2!$A$21" lockText="1" noThreeD="1"/>
</file>

<file path=xl/ctrlProps/ctrlProp94.xml><?xml version="1.0" encoding="utf-8"?>
<formControlPr xmlns="http://schemas.microsoft.com/office/spreadsheetml/2009/9/main" objectType="CheckBox" checked="Checked" fmlaLink="[1]Sheet2!$A$22" lockText="1" noThreeD="1"/>
</file>

<file path=xl/ctrlProps/ctrlProp95.xml><?xml version="1.0" encoding="utf-8"?>
<formControlPr xmlns="http://schemas.microsoft.com/office/spreadsheetml/2009/9/main" objectType="CheckBox" checked="Checked" fmlaLink="[1]Sheet2!$A$23" lockText="1" noThreeD="1"/>
</file>

<file path=xl/ctrlProps/ctrlProp96.xml><?xml version="1.0" encoding="utf-8"?>
<formControlPr xmlns="http://schemas.microsoft.com/office/spreadsheetml/2009/9/main" objectType="CheckBox" checked="Checked" fmlaLink="[1]Sheet2!$A$24" lockText="1" noThreeD="1"/>
</file>

<file path=xl/ctrlProps/ctrlProp97.xml><?xml version="1.0" encoding="utf-8"?>
<formControlPr xmlns="http://schemas.microsoft.com/office/spreadsheetml/2009/9/main" objectType="CheckBox" checked="Checked" fmlaLink="[1]Sheet2!$A$2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95250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95250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95250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95250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95250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95250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95250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76200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95250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95250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95250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95250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95250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24</xdr:row>
          <xdr:rowOff>95250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95250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95250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95250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95250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95250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95250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95250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95250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76200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95250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95250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95250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95250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95250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24</xdr:row>
          <xdr:rowOff>95250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196850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196850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196850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2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196850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2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196850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2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196850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2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196850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2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196850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2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82550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2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196850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2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196850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2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196850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2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196850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2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196850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2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24</xdr:row>
          <xdr:rowOff>19050</xdr:rowOff>
        </xdr:from>
        <xdr:to>
          <xdr:col>6</xdr:col>
          <xdr:colOff>520700</xdr:colOff>
          <xdr:row>25</xdr:row>
          <xdr:rowOff>101600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2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196850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2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24</xdr:row>
          <xdr:rowOff>196850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2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12</xdr:row>
          <xdr:rowOff>12700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13</xdr:row>
          <xdr:rowOff>12700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14</xdr:row>
          <xdr:rowOff>12700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15</xdr:row>
          <xdr:rowOff>12700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3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16</xdr:row>
          <xdr:rowOff>12700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19</xdr:row>
          <xdr:rowOff>12700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3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3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3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20</xdr:row>
          <xdr:rowOff>82550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3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3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3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3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3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3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19</xdr:row>
          <xdr:rowOff>82550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3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3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20</xdr:row>
          <xdr:rowOff>177800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3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27</xdr:row>
          <xdr:rowOff>12700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27</xdr:row>
          <xdr:rowOff>12700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26</xdr:row>
          <xdr:rowOff>12700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4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1130300</xdr:colOff>
          <xdr:row>2</xdr:row>
          <xdr:rowOff>177800</xdr:rowOff>
        </xdr:from>
        <xdr:to>
          <xdr:col>6</xdr:col>
          <xdr:colOff>1358900</xdr:colOff>
          <xdr:row>21</xdr:row>
          <xdr:rowOff>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4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24</xdr:row>
          <xdr:rowOff>12700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4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23</xdr:row>
          <xdr:rowOff>12700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4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4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4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20</xdr:row>
          <xdr:rowOff>82550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4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4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4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4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4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4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19</xdr:row>
          <xdr:rowOff>82550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4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21</xdr:row>
          <xdr:rowOff>177800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4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0</xdr:rowOff>
        </xdr:from>
        <xdr:to>
          <xdr:col>6</xdr:col>
          <xdr:colOff>520700</xdr:colOff>
          <xdr:row>20</xdr:row>
          <xdr:rowOff>177800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4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5</xdr:row>
          <xdr:rowOff>127000</xdr:rowOff>
        </xdr:from>
        <xdr:to>
          <xdr:col>6</xdr:col>
          <xdr:colOff>704850</xdr:colOff>
          <xdr:row>24</xdr:row>
          <xdr:rowOff>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4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12</xdr:row>
          <xdr:rowOff>6350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13</xdr:row>
          <xdr:rowOff>6350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14</xdr:row>
          <xdr:rowOff>6350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5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15</xdr:row>
          <xdr:rowOff>6350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5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16</xdr:row>
          <xdr:rowOff>6350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5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17</xdr:row>
          <xdr:rowOff>6350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5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18</xdr:row>
          <xdr:rowOff>6350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19</xdr:row>
          <xdr:rowOff>6350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5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171450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20</xdr:row>
          <xdr:rowOff>6350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5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21</xdr:row>
          <xdr:rowOff>6350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5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22</xdr:row>
          <xdr:rowOff>6350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5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23</xdr:row>
          <xdr:rowOff>6350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5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24</xdr:row>
          <xdr:rowOff>6350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5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25</xdr:row>
          <xdr:rowOff>6350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mshikha\Downloads\test-plan-template.xlsx" TargetMode="External"/><Relationship Id="rId1" Type="http://schemas.openxmlformats.org/officeDocument/2006/relationships/externalLinkPath" Target="file:///C:\Users\Himshikha\Downloads\test-pla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.xml"/><Relationship Id="rId13" Type="http://schemas.openxmlformats.org/officeDocument/2006/relationships/ctrlProp" Target="../ctrlProps/ctrlProp26.xml"/><Relationship Id="rId3" Type="http://schemas.openxmlformats.org/officeDocument/2006/relationships/ctrlProp" Target="../ctrlProps/ctrlProp16.xml"/><Relationship Id="rId7" Type="http://schemas.openxmlformats.org/officeDocument/2006/relationships/ctrlProp" Target="../ctrlProps/ctrlProp20.xml"/><Relationship Id="rId12" Type="http://schemas.openxmlformats.org/officeDocument/2006/relationships/ctrlProp" Target="../ctrlProps/ctrlProp25.xml"/><Relationship Id="rId17" Type="http://schemas.openxmlformats.org/officeDocument/2006/relationships/ctrlProp" Target="../ctrlProps/ctrlProp30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9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9.xml"/><Relationship Id="rId11" Type="http://schemas.openxmlformats.org/officeDocument/2006/relationships/ctrlProp" Target="../ctrlProps/ctrlProp24.xml"/><Relationship Id="rId5" Type="http://schemas.openxmlformats.org/officeDocument/2006/relationships/ctrlProp" Target="../ctrlProps/ctrlProp18.xml"/><Relationship Id="rId15" Type="http://schemas.openxmlformats.org/officeDocument/2006/relationships/ctrlProp" Target="../ctrlProps/ctrlProp28.xml"/><Relationship Id="rId10" Type="http://schemas.openxmlformats.org/officeDocument/2006/relationships/ctrlProp" Target="../ctrlProps/ctrlProp23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Relationship Id="rId14" Type="http://schemas.openxmlformats.org/officeDocument/2006/relationships/ctrlProp" Target="../ctrlProps/ctrlProp2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.xml"/><Relationship Id="rId13" Type="http://schemas.openxmlformats.org/officeDocument/2006/relationships/ctrlProp" Target="../ctrlProps/ctrlProp41.xml"/><Relationship Id="rId18" Type="http://schemas.openxmlformats.org/officeDocument/2006/relationships/ctrlProp" Target="../ctrlProps/ctrlProp46.xml"/><Relationship Id="rId3" Type="http://schemas.openxmlformats.org/officeDocument/2006/relationships/ctrlProp" Target="../ctrlProps/ctrlProp31.xml"/><Relationship Id="rId7" Type="http://schemas.openxmlformats.org/officeDocument/2006/relationships/ctrlProp" Target="../ctrlProps/ctrlProp35.xml"/><Relationship Id="rId12" Type="http://schemas.openxmlformats.org/officeDocument/2006/relationships/ctrlProp" Target="../ctrlProps/ctrlProp40.xml"/><Relationship Id="rId17" Type="http://schemas.openxmlformats.org/officeDocument/2006/relationships/ctrlProp" Target="../ctrlProps/ctrlProp45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44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34.xml"/><Relationship Id="rId11" Type="http://schemas.openxmlformats.org/officeDocument/2006/relationships/ctrlProp" Target="../ctrlProps/ctrlProp39.xml"/><Relationship Id="rId5" Type="http://schemas.openxmlformats.org/officeDocument/2006/relationships/ctrlProp" Target="../ctrlProps/ctrlProp33.xml"/><Relationship Id="rId15" Type="http://schemas.openxmlformats.org/officeDocument/2006/relationships/ctrlProp" Target="../ctrlProps/ctrlProp43.xml"/><Relationship Id="rId10" Type="http://schemas.openxmlformats.org/officeDocument/2006/relationships/ctrlProp" Target="../ctrlProps/ctrlProp38.xml"/><Relationship Id="rId19" Type="http://schemas.openxmlformats.org/officeDocument/2006/relationships/ctrlProp" Target="../ctrlProps/ctrlProp47.xml"/><Relationship Id="rId4" Type="http://schemas.openxmlformats.org/officeDocument/2006/relationships/ctrlProp" Target="../ctrlProps/ctrlProp32.xml"/><Relationship Id="rId9" Type="http://schemas.openxmlformats.org/officeDocument/2006/relationships/ctrlProp" Target="../ctrlProps/ctrlProp37.xml"/><Relationship Id="rId14" Type="http://schemas.openxmlformats.org/officeDocument/2006/relationships/ctrlProp" Target="../ctrlProps/ctrlProp4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13" Type="http://schemas.openxmlformats.org/officeDocument/2006/relationships/ctrlProp" Target="../ctrlProps/ctrlProp58.xml"/><Relationship Id="rId18" Type="http://schemas.openxmlformats.org/officeDocument/2006/relationships/ctrlProp" Target="../ctrlProps/ctrlProp63.xml"/><Relationship Id="rId3" Type="http://schemas.openxmlformats.org/officeDocument/2006/relationships/ctrlProp" Target="../ctrlProps/ctrlProp48.xml"/><Relationship Id="rId7" Type="http://schemas.openxmlformats.org/officeDocument/2006/relationships/ctrlProp" Target="../ctrlProps/ctrlProp52.xml"/><Relationship Id="rId12" Type="http://schemas.openxmlformats.org/officeDocument/2006/relationships/ctrlProp" Target="../ctrlProps/ctrlProp57.xml"/><Relationship Id="rId17" Type="http://schemas.openxmlformats.org/officeDocument/2006/relationships/ctrlProp" Target="../ctrlProps/ctrlProp62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61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1.xml"/><Relationship Id="rId11" Type="http://schemas.openxmlformats.org/officeDocument/2006/relationships/ctrlProp" Target="../ctrlProps/ctrlProp56.xml"/><Relationship Id="rId5" Type="http://schemas.openxmlformats.org/officeDocument/2006/relationships/ctrlProp" Target="../ctrlProps/ctrlProp50.xml"/><Relationship Id="rId15" Type="http://schemas.openxmlformats.org/officeDocument/2006/relationships/ctrlProp" Target="../ctrlProps/ctrlProp60.xml"/><Relationship Id="rId10" Type="http://schemas.openxmlformats.org/officeDocument/2006/relationships/ctrlProp" Target="../ctrlProps/ctrlProp55.xml"/><Relationship Id="rId19" Type="http://schemas.openxmlformats.org/officeDocument/2006/relationships/ctrlProp" Target="../ctrlProps/ctrlProp64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Relationship Id="rId14" Type="http://schemas.openxmlformats.org/officeDocument/2006/relationships/ctrlProp" Target="../ctrlProps/ctrlProp5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0.xml"/><Relationship Id="rId13" Type="http://schemas.openxmlformats.org/officeDocument/2006/relationships/ctrlProp" Target="../ctrlProps/ctrlProp75.xml"/><Relationship Id="rId18" Type="http://schemas.openxmlformats.org/officeDocument/2006/relationships/ctrlProp" Target="../ctrlProps/ctrlProp80.xml"/><Relationship Id="rId3" Type="http://schemas.openxmlformats.org/officeDocument/2006/relationships/ctrlProp" Target="../ctrlProps/ctrlProp65.xml"/><Relationship Id="rId7" Type="http://schemas.openxmlformats.org/officeDocument/2006/relationships/ctrlProp" Target="../ctrlProps/ctrlProp69.xml"/><Relationship Id="rId12" Type="http://schemas.openxmlformats.org/officeDocument/2006/relationships/ctrlProp" Target="../ctrlProps/ctrlProp74.xml"/><Relationship Id="rId17" Type="http://schemas.openxmlformats.org/officeDocument/2006/relationships/ctrlProp" Target="../ctrlProps/ctrlProp79.xml"/><Relationship Id="rId2" Type="http://schemas.openxmlformats.org/officeDocument/2006/relationships/vmlDrawing" Target="../drawings/vmlDrawing5.vml"/><Relationship Id="rId16" Type="http://schemas.openxmlformats.org/officeDocument/2006/relationships/ctrlProp" Target="../ctrlProps/ctrlProp78.xml"/><Relationship Id="rId20" Type="http://schemas.openxmlformats.org/officeDocument/2006/relationships/ctrlProp" Target="../ctrlProps/ctrlProp82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68.xml"/><Relationship Id="rId11" Type="http://schemas.openxmlformats.org/officeDocument/2006/relationships/ctrlProp" Target="../ctrlProps/ctrlProp73.xml"/><Relationship Id="rId5" Type="http://schemas.openxmlformats.org/officeDocument/2006/relationships/ctrlProp" Target="../ctrlProps/ctrlProp67.xml"/><Relationship Id="rId15" Type="http://schemas.openxmlformats.org/officeDocument/2006/relationships/ctrlProp" Target="../ctrlProps/ctrlProp77.xml"/><Relationship Id="rId10" Type="http://schemas.openxmlformats.org/officeDocument/2006/relationships/ctrlProp" Target="../ctrlProps/ctrlProp72.xml"/><Relationship Id="rId19" Type="http://schemas.openxmlformats.org/officeDocument/2006/relationships/ctrlProp" Target="../ctrlProps/ctrlProp81.xml"/><Relationship Id="rId4" Type="http://schemas.openxmlformats.org/officeDocument/2006/relationships/ctrlProp" Target="../ctrlProps/ctrlProp66.xml"/><Relationship Id="rId9" Type="http://schemas.openxmlformats.org/officeDocument/2006/relationships/ctrlProp" Target="../ctrlProps/ctrlProp71.xml"/><Relationship Id="rId14" Type="http://schemas.openxmlformats.org/officeDocument/2006/relationships/ctrlProp" Target="../ctrlProps/ctrlProp7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8.xml"/><Relationship Id="rId13" Type="http://schemas.openxmlformats.org/officeDocument/2006/relationships/ctrlProp" Target="../ctrlProps/ctrlProp93.xml"/><Relationship Id="rId3" Type="http://schemas.openxmlformats.org/officeDocument/2006/relationships/ctrlProp" Target="../ctrlProps/ctrlProp83.xml"/><Relationship Id="rId7" Type="http://schemas.openxmlformats.org/officeDocument/2006/relationships/ctrlProp" Target="../ctrlProps/ctrlProp87.xml"/><Relationship Id="rId12" Type="http://schemas.openxmlformats.org/officeDocument/2006/relationships/ctrlProp" Target="../ctrlProps/ctrlProp92.xml"/><Relationship Id="rId17" Type="http://schemas.openxmlformats.org/officeDocument/2006/relationships/ctrlProp" Target="../ctrlProps/ctrlProp97.xml"/><Relationship Id="rId2" Type="http://schemas.openxmlformats.org/officeDocument/2006/relationships/vmlDrawing" Target="../drawings/vmlDrawing6.vml"/><Relationship Id="rId16" Type="http://schemas.openxmlformats.org/officeDocument/2006/relationships/ctrlProp" Target="../ctrlProps/ctrlProp96.x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86.xml"/><Relationship Id="rId11" Type="http://schemas.openxmlformats.org/officeDocument/2006/relationships/ctrlProp" Target="../ctrlProps/ctrlProp91.xml"/><Relationship Id="rId5" Type="http://schemas.openxmlformats.org/officeDocument/2006/relationships/ctrlProp" Target="../ctrlProps/ctrlProp85.xml"/><Relationship Id="rId15" Type="http://schemas.openxmlformats.org/officeDocument/2006/relationships/ctrlProp" Target="../ctrlProps/ctrlProp95.xml"/><Relationship Id="rId10" Type="http://schemas.openxmlformats.org/officeDocument/2006/relationships/ctrlProp" Target="../ctrlProps/ctrlProp90.xml"/><Relationship Id="rId4" Type="http://schemas.openxmlformats.org/officeDocument/2006/relationships/ctrlProp" Target="../ctrlProps/ctrlProp84.xml"/><Relationship Id="rId9" Type="http://schemas.openxmlformats.org/officeDocument/2006/relationships/ctrlProp" Target="../ctrlProps/ctrlProp89.xml"/><Relationship Id="rId14" Type="http://schemas.openxmlformats.org/officeDocument/2006/relationships/ctrlProp" Target="../ctrlProps/ctrlProp9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0153-EBD2-4E7A-A921-2ED47FBD7C78}">
  <dimension ref="A1:V26"/>
  <sheetViews>
    <sheetView tabSelected="1" workbookViewId="0">
      <selection activeCell="C13" sqref="C13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7" t="s">
        <v>16</v>
      </c>
      <c r="C5" s="18"/>
      <c r="D5" s="19"/>
      <c r="E5" s="4" t="s">
        <v>2</v>
      </c>
      <c r="F5" s="20" t="s">
        <v>17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7">
        <v>1</v>
      </c>
      <c r="C6" s="18"/>
      <c r="D6" s="19"/>
      <c r="E6" s="4" t="s">
        <v>4</v>
      </c>
      <c r="F6" s="20">
        <v>1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7" t="s">
        <v>18</v>
      </c>
      <c r="C7" s="18"/>
      <c r="D7" s="19"/>
      <c r="E7" s="4" t="s">
        <v>6</v>
      </c>
      <c r="F7" s="20" t="s">
        <v>45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7" t="s">
        <v>18</v>
      </c>
      <c r="C8" s="18"/>
      <c r="D8" s="19"/>
      <c r="E8" s="4" t="s">
        <v>8</v>
      </c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35">
      <c r="A11" s="9">
        <v>1</v>
      </c>
      <c r="B11" s="10"/>
      <c r="C11" s="9" t="s">
        <v>19</v>
      </c>
      <c r="D11" s="9" t="s">
        <v>20</v>
      </c>
      <c r="E11" s="9" t="s">
        <v>21</v>
      </c>
      <c r="F11" s="9" t="s">
        <v>21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s="13" customFormat="1" ht="22" customHeight="1" x14ac:dyDescent="0.35">
      <c r="A12" s="11">
        <v>2</v>
      </c>
      <c r="B12" s="12"/>
      <c r="C12" s="11" t="s">
        <v>19</v>
      </c>
      <c r="D12" s="11" t="s">
        <v>22</v>
      </c>
      <c r="E12" s="11" t="s">
        <v>36</v>
      </c>
      <c r="F12" s="11" t="s">
        <v>23</v>
      </c>
      <c r="G12" s="11"/>
    </row>
    <row r="13" spans="1:22" s="13" customFormat="1" ht="22" customHeight="1" x14ac:dyDescent="0.35">
      <c r="A13" s="11">
        <v>3</v>
      </c>
      <c r="B13" s="12"/>
      <c r="C13" s="11" t="s">
        <v>19</v>
      </c>
      <c r="D13" s="11" t="s">
        <v>24</v>
      </c>
      <c r="E13" s="11" t="s">
        <v>37</v>
      </c>
      <c r="F13" s="11" t="s">
        <v>23</v>
      </c>
      <c r="G13" s="11"/>
    </row>
    <row r="14" spans="1:22" ht="22" customHeight="1" x14ac:dyDescent="0.35">
      <c r="A14" s="9">
        <v>4</v>
      </c>
      <c r="B14" s="10"/>
      <c r="C14" s="9" t="s">
        <v>19</v>
      </c>
      <c r="D14" s="9" t="s">
        <v>25</v>
      </c>
      <c r="E14" s="9" t="s">
        <v>38</v>
      </c>
      <c r="F14" s="9" t="s">
        <v>27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9">
        <v>5</v>
      </c>
      <c r="B15" s="9"/>
      <c r="C15" s="9" t="s">
        <v>19</v>
      </c>
      <c r="D15" s="9" t="s">
        <v>26</v>
      </c>
      <c r="E15" s="9" t="s">
        <v>39</v>
      </c>
      <c r="F15" s="9" t="s">
        <v>27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35">
      <c r="A16" s="9">
        <v>6</v>
      </c>
      <c r="B16" s="9"/>
      <c r="C16" s="9" t="s">
        <v>19</v>
      </c>
      <c r="D16" s="9" t="s">
        <v>28</v>
      </c>
      <c r="E16" s="9" t="s">
        <v>39</v>
      </c>
      <c r="F16" s="9" t="s">
        <v>27</v>
      </c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35">
      <c r="A17" s="9">
        <v>7</v>
      </c>
      <c r="B17" s="9"/>
      <c r="C17" s="9" t="s">
        <v>19</v>
      </c>
      <c r="D17" s="9" t="s">
        <v>29</v>
      </c>
      <c r="E17" s="9" t="s">
        <v>36</v>
      </c>
      <c r="F17" s="9" t="s">
        <v>27</v>
      </c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s="13" customFormat="1" ht="22" customHeight="1" x14ac:dyDescent="0.35">
      <c r="A18" s="11">
        <v>8</v>
      </c>
      <c r="B18" s="11"/>
      <c r="C18" s="11" t="s">
        <v>19</v>
      </c>
      <c r="D18" s="11" t="s">
        <v>30</v>
      </c>
      <c r="E18" s="11" t="s">
        <v>34</v>
      </c>
      <c r="F18" s="11" t="s">
        <v>40</v>
      </c>
      <c r="G18" s="11"/>
    </row>
    <row r="19" spans="1:22" ht="22" customHeight="1" x14ac:dyDescent="0.35">
      <c r="A19" s="9">
        <v>9</v>
      </c>
      <c r="B19" s="9"/>
      <c r="C19" s="9" t="s">
        <v>19</v>
      </c>
      <c r="D19" s="9" t="s">
        <v>31</v>
      </c>
      <c r="E19" s="9" t="s">
        <v>21</v>
      </c>
      <c r="F19" s="9" t="s">
        <v>23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s="13" customFormat="1" ht="22" customHeight="1" x14ac:dyDescent="0.35">
      <c r="A20" s="11">
        <v>10</v>
      </c>
      <c r="B20" s="11"/>
      <c r="C20" s="11" t="s">
        <v>19</v>
      </c>
      <c r="D20" s="11" t="s">
        <v>32</v>
      </c>
      <c r="E20" s="11" t="s">
        <v>35</v>
      </c>
      <c r="F20" s="11" t="s">
        <v>41</v>
      </c>
      <c r="G20" s="11"/>
    </row>
    <row r="21" spans="1:22" s="13" customFormat="1" ht="22" customHeight="1" x14ac:dyDescent="0.35">
      <c r="A21" s="11">
        <v>11</v>
      </c>
      <c r="B21" s="11"/>
      <c r="C21" s="11" t="s">
        <v>19</v>
      </c>
      <c r="D21" s="11" t="s">
        <v>33</v>
      </c>
      <c r="E21" s="11" t="s">
        <v>35</v>
      </c>
      <c r="F21" s="11" t="s">
        <v>41</v>
      </c>
      <c r="G21" s="11"/>
    </row>
    <row r="22" spans="1:22" s="13" customFormat="1" ht="22" customHeight="1" x14ac:dyDescent="0.35">
      <c r="A22" s="11">
        <v>12</v>
      </c>
      <c r="B22" s="11"/>
      <c r="C22" s="11" t="s">
        <v>19</v>
      </c>
      <c r="D22" s="11" t="s">
        <v>42</v>
      </c>
      <c r="E22" s="11"/>
      <c r="F22" s="11"/>
      <c r="G22" s="11"/>
    </row>
    <row r="23" spans="1:22" ht="22" customHeight="1" x14ac:dyDescent="0.3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BD7-38BD-4C37-A821-3BDB4BD151FD}">
  <dimension ref="A1:V26"/>
  <sheetViews>
    <sheetView workbookViewId="0">
      <selection activeCell="C13" sqref="C13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7" t="s">
        <v>16</v>
      </c>
      <c r="C5" s="18"/>
      <c r="D5" s="19"/>
      <c r="E5" s="4" t="s">
        <v>2</v>
      </c>
      <c r="F5" s="20" t="s">
        <v>17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7">
        <v>1</v>
      </c>
      <c r="C6" s="18"/>
      <c r="D6" s="19"/>
      <c r="E6" s="4" t="s">
        <v>4</v>
      </c>
      <c r="F6" s="20">
        <v>1.1000000000000001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7" t="s">
        <v>18</v>
      </c>
      <c r="C7" s="18"/>
      <c r="D7" s="19"/>
      <c r="E7" s="4" t="s">
        <v>6</v>
      </c>
      <c r="F7" s="20" t="s">
        <v>44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7" t="s">
        <v>18</v>
      </c>
      <c r="C8" s="18"/>
      <c r="D8" s="19"/>
      <c r="E8" s="4" t="s">
        <v>8</v>
      </c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35">
      <c r="A11" s="9">
        <v>1</v>
      </c>
      <c r="B11" s="10"/>
      <c r="C11" s="9" t="s">
        <v>19</v>
      </c>
      <c r="D11" s="9" t="s">
        <v>20</v>
      </c>
      <c r="E11" s="9" t="s">
        <v>21</v>
      </c>
      <c r="F11" s="9" t="s">
        <v>21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35">
      <c r="A12" s="9">
        <v>2</v>
      </c>
      <c r="B12" s="10"/>
      <c r="C12" s="9" t="s">
        <v>19</v>
      </c>
      <c r="D12" s="9" t="s">
        <v>22</v>
      </c>
      <c r="E12" s="9" t="s">
        <v>36</v>
      </c>
      <c r="F12" s="9" t="s">
        <v>43</v>
      </c>
      <c r="G12" s="9"/>
    </row>
    <row r="13" spans="1:22" ht="22" customHeight="1" x14ac:dyDescent="0.35">
      <c r="A13" s="9">
        <v>3</v>
      </c>
      <c r="B13" s="10"/>
      <c r="C13" s="9" t="s">
        <v>19</v>
      </c>
      <c r="D13" s="9" t="s">
        <v>24</v>
      </c>
      <c r="E13" s="9" t="s">
        <v>37</v>
      </c>
      <c r="F13" s="9" t="s">
        <v>43</v>
      </c>
      <c r="G13" s="9"/>
    </row>
    <row r="14" spans="1:22" ht="22" customHeight="1" x14ac:dyDescent="0.35">
      <c r="A14" s="9">
        <v>4</v>
      </c>
      <c r="B14" s="10"/>
      <c r="C14" s="9" t="s">
        <v>19</v>
      </c>
      <c r="D14" s="9" t="s">
        <v>25</v>
      </c>
      <c r="E14" s="9" t="s">
        <v>38</v>
      </c>
      <c r="F14" s="9" t="s">
        <v>43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9">
        <v>5</v>
      </c>
      <c r="B15" s="9"/>
      <c r="C15" s="9" t="s">
        <v>19</v>
      </c>
      <c r="D15" s="9" t="s">
        <v>26</v>
      </c>
      <c r="E15" s="9" t="s">
        <v>39</v>
      </c>
      <c r="F15" s="9" t="s">
        <v>43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35">
      <c r="A16" s="9">
        <v>6</v>
      </c>
      <c r="B16" s="9"/>
      <c r="C16" s="9" t="s">
        <v>19</v>
      </c>
      <c r="D16" s="9" t="s">
        <v>28</v>
      </c>
      <c r="E16" s="9" t="s">
        <v>39</v>
      </c>
      <c r="F16" s="9" t="s">
        <v>43</v>
      </c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35">
      <c r="A17" s="9">
        <v>7</v>
      </c>
      <c r="B17" s="9"/>
      <c r="C17" s="9" t="s">
        <v>19</v>
      </c>
      <c r="D17" s="9" t="s">
        <v>29</v>
      </c>
      <c r="E17" s="9" t="s">
        <v>36</v>
      </c>
      <c r="F17" s="9" t="s">
        <v>43</v>
      </c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" customHeight="1" x14ac:dyDescent="0.35">
      <c r="A18" s="9">
        <v>8</v>
      </c>
      <c r="B18" s="9"/>
      <c r="C18" s="9" t="s">
        <v>19</v>
      </c>
      <c r="D18" s="9" t="s">
        <v>30</v>
      </c>
      <c r="E18" s="9" t="s">
        <v>34</v>
      </c>
      <c r="F18" s="9" t="s">
        <v>43</v>
      </c>
      <c r="G18" s="9"/>
    </row>
    <row r="19" spans="1:22" ht="22" customHeight="1" x14ac:dyDescent="0.35">
      <c r="A19" s="9">
        <v>9</v>
      </c>
      <c r="B19" s="9"/>
      <c r="C19" s="9" t="s">
        <v>19</v>
      </c>
      <c r="D19" s="9" t="s">
        <v>31</v>
      </c>
      <c r="E19" s="9" t="s">
        <v>21</v>
      </c>
      <c r="F19" s="9" t="s">
        <v>23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" customHeight="1" x14ac:dyDescent="0.35">
      <c r="A20" s="9">
        <v>10</v>
      </c>
      <c r="B20" s="9"/>
      <c r="C20" s="9" t="s">
        <v>19</v>
      </c>
      <c r="D20" s="9" t="s">
        <v>32</v>
      </c>
      <c r="E20" s="9" t="s">
        <v>35</v>
      </c>
      <c r="F20" s="9" t="s">
        <v>43</v>
      </c>
      <c r="G20" s="9"/>
    </row>
    <row r="21" spans="1:22" ht="22" customHeight="1" x14ac:dyDescent="0.35">
      <c r="A21" s="9">
        <v>11</v>
      </c>
      <c r="B21" s="9"/>
      <c r="C21" s="9" t="s">
        <v>19</v>
      </c>
      <c r="D21" s="9" t="s">
        <v>33</v>
      </c>
      <c r="E21" s="9" t="s">
        <v>35</v>
      </c>
      <c r="F21" s="9" t="s">
        <v>43</v>
      </c>
      <c r="G21" s="9"/>
    </row>
    <row r="22" spans="1:22" ht="22" customHeight="1" x14ac:dyDescent="0.35">
      <c r="A22" s="9">
        <v>12</v>
      </c>
      <c r="B22" s="9"/>
      <c r="C22" s="9" t="s">
        <v>19</v>
      </c>
      <c r="D22" s="9" t="s">
        <v>42</v>
      </c>
      <c r="E22" s="9" t="s">
        <v>43</v>
      </c>
      <c r="F22" s="9" t="s">
        <v>43</v>
      </c>
      <c r="G22" s="9"/>
    </row>
    <row r="23" spans="1:22" ht="22" customHeight="1" x14ac:dyDescent="0.3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8649-83D2-4B05-B440-B5972C6A8F5B}">
  <dimension ref="A1:V27"/>
  <sheetViews>
    <sheetView workbookViewId="0">
      <selection activeCell="F6" sqref="F6:G6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7" t="s">
        <v>16</v>
      </c>
      <c r="C5" s="18"/>
      <c r="D5" s="19"/>
      <c r="E5" s="4" t="s">
        <v>2</v>
      </c>
      <c r="F5" s="20" t="s">
        <v>17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7">
        <v>2</v>
      </c>
      <c r="C6" s="18"/>
      <c r="D6" s="19"/>
      <c r="E6" s="4" t="s">
        <v>4</v>
      </c>
      <c r="F6" s="20">
        <v>1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7" t="s">
        <v>18</v>
      </c>
      <c r="C7" s="18"/>
      <c r="D7" s="19"/>
      <c r="E7" s="4" t="s">
        <v>6</v>
      </c>
      <c r="F7" s="20" t="s">
        <v>87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7" t="s">
        <v>18</v>
      </c>
      <c r="C8" s="18"/>
      <c r="D8" s="19"/>
      <c r="E8" s="4" t="s">
        <v>8</v>
      </c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9" x14ac:dyDescent="0.35">
      <c r="A11" s="9">
        <v>1</v>
      </c>
      <c r="B11" s="10"/>
      <c r="C11" s="14" t="s">
        <v>75</v>
      </c>
      <c r="D11" s="9" t="s">
        <v>47</v>
      </c>
      <c r="E11" s="9" t="s">
        <v>48</v>
      </c>
      <c r="F11" s="9" t="s">
        <v>76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9" x14ac:dyDescent="0.35">
      <c r="A12" s="9">
        <v>2</v>
      </c>
      <c r="B12" s="10"/>
      <c r="C12" s="14" t="s">
        <v>75</v>
      </c>
      <c r="D12" s="9" t="s">
        <v>49</v>
      </c>
      <c r="E12" s="9" t="s">
        <v>50</v>
      </c>
      <c r="F12" s="9" t="s">
        <v>77</v>
      </c>
      <c r="G12" s="9"/>
    </row>
    <row r="13" spans="1:22" ht="29" x14ac:dyDescent="0.35">
      <c r="A13" s="9">
        <v>3</v>
      </c>
      <c r="B13" s="10"/>
      <c r="C13" s="14" t="s">
        <v>75</v>
      </c>
      <c r="D13" s="9" t="s">
        <v>51</v>
      </c>
      <c r="E13" s="9" t="s">
        <v>52</v>
      </c>
      <c r="F13" s="9" t="s">
        <v>78</v>
      </c>
      <c r="G13" s="9"/>
    </row>
    <row r="14" spans="1:22" ht="29" x14ac:dyDescent="0.35">
      <c r="A14" s="9">
        <v>4</v>
      </c>
      <c r="B14" s="10"/>
      <c r="C14" s="14" t="s">
        <v>75</v>
      </c>
      <c r="D14" s="9" t="s">
        <v>53</v>
      </c>
      <c r="E14" s="9" t="s">
        <v>54</v>
      </c>
      <c r="F14" s="9" t="s">
        <v>79</v>
      </c>
      <c r="G14" s="9"/>
    </row>
    <row r="15" spans="1:22" ht="29" x14ac:dyDescent="0.35">
      <c r="A15" s="9">
        <v>5</v>
      </c>
      <c r="B15" s="9"/>
      <c r="C15" s="14" t="s">
        <v>75</v>
      </c>
      <c r="D15" s="9" t="s">
        <v>55</v>
      </c>
      <c r="E15" s="9" t="s">
        <v>56</v>
      </c>
      <c r="F15" s="9" t="s">
        <v>80</v>
      </c>
      <c r="G15" s="9"/>
    </row>
    <row r="16" spans="1:22" ht="29" x14ac:dyDescent="0.35">
      <c r="A16" s="9">
        <v>6</v>
      </c>
      <c r="B16" s="9"/>
      <c r="C16" s="14" t="s">
        <v>75</v>
      </c>
      <c r="D16" s="9" t="s">
        <v>57</v>
      </c>
      <c r="E16" s="9" t="s">
        <v>58</v>
      </c>
      <c r="F16" s="9" t="s">
        <v>81</v>
      </c>
      <c r="G16" s="9"/>
    </row>
    <row r="17" spans="1:22" ht="29" x14ac:dyDescent="0.35">
      <c r="A17" s="9">
        <v>7</v>
      </c>
      <c r="B17" s="9"/>
      <c r="C17" s="14" t="s">
        <v>75</v>
      </c>
      <c r="D17" s="9" t="s">
        <v>59</v>
      </c>
      <c r="E17" s="9" t="s">
        <v>60</v>
      </c>
      <c r="F17" s="9" t="s">
        <v>82</v>
      </c>
      <c r="G17" s="9"/>
    </row>
    <row r="18" spans="1:22" ht="29" x14ac:dyDescent="0.35">
      <c r="A18" s="9">
        <v>8</v>
      </c>
      <c r="B18" s="9"/>
      <c r="C18" s="14" t="s">
        <v>75</v>
      </c>
      <c r="D18" s="9" t="s">
        <v>61</v>
      </c>
      <c r="E18" s="9" t="s">
        <v>62</v>
      </c>
      <c r="F18" s="9" t="s">
        <v>62</v>
      </c>
      <c r="G18" s="9"/>
    </row>
    <row r="19" spans="1:22" ht="29" x14ac:dyDescent="0.35">
      <c r="A19" s="9">
        <v>9</v>
      </c>
      <c r="B19" s="9"/>
      <c r="C19" s="14" t="s">
        <v>75</v>
      </c>
      <c r="D19" s="9" t="s">
        <v>63</v>
      </c>
      <c r="E19" s="9" t="s">
        <v>64</v>
      </c>
      <c r="F19" s="9" t="s">
        <v>64</v>
      </c>
      <c r="G19" s="9"/>
    </row>
    <row r="20" spans="1:22" ht="29" x14ac:dyDescent="0.35">
      <c r="A20" s="9">
        <v>10</v>
      </c>
      <c r="B20" s="9"/>
      <c r="C20" s="14" t="s">
        <v>75</v>
      </c>
      <c r="D20" s="9" t="s">
        <v>65</v>
      </c>
      <c r="E20" s="9" t="s">
        <v>66</v>
      </c>
      <c r="F20" s="9" t="s">
        <v>83</v>
      </c>
      <c r="G20" s="9"/>
    </row>
    <row r="21" spans="1:22" ht="29" x14ac:dyDescent="0.35">
      <c r="A21" s="9">
        <v>11</v>
      </c>
      <c r="B21" s="9"/>
      <c r="C21" s="14" t="s">
        <v>75</v>
      </c>
      <c r="D21" s="9" t="s">
        <v>67</v>
      </c>
      <c r="E21" s="9" t="s">
        <v>68</v>
      </c>
      <c r="F21" s="9" t="s">
        <v>84</v>
      </c>
      <c r="G21" s="9"/>
    </row>
    <row r="22" spans="1:22" ht="29" x14ac:dyDescent="0.35">
      <c r="A22" s="9">
        <v>12</v>
      </c>
      <c r="B22" s="9"/>
      <c r="C22" s="14" t="s">
        <v>75</v>
      </c>
      <c r="D22" s="9" t="s">
        <v>69</v>
      </c>
      <c r="E22" s="9" t="s">
        <v>60</v>
      </c>
      <c r="F22" s="9" t="s">
        <v>82</v>
      </c>
      <c r="G22" s="9"/>
    </row>
    <row r="23" spans="1:22" ht="29" x14ac:dyDescent="0.35">
      <c r="A23" s="9">
        <v>13</v>
      </c>
      <c r="B23" s="9"/>
      <c r="C23" s="14" t="s">
        <v>75</v>
      </c>
      <c r="D23" s="9" t="s">
        <v>70</v>
      </c>
      <c r="E23" s="9" t="s">
        <v>71</v>
      </c>
      <c r="F23" s="9" t="s">
        <v>85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9" x14ac:dyDescent="0.35">
      <c r="A24" s="9">
        <v>14</v>
      </c>
      <c r="B24" s="9"/>
      <c r="C24" s="14" t="s">
        <v>75</v>
      </c>
      <c r="D24" s="9" t="s">
        <v>72</v>
      </c>
      <c r="E24" s="9" t="s">
        <v>68</v>
      </c>
      <c r="F24" s="9" t="s">
        <v>84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9" x14ac:dyDescent="0.35">
      <c r="A25" s="9">
        <v>15</v>
      </c>
      <c r="B25" s="9"/>
      <c r="C25" s="14" t="s">
        <v>75</v>
      </c>
      <c r="D25" s="15" t="s">
        <v>73</v>
      </c>
      <c r="E25" s="15" t="s">
        <v>74</v>
      </c>
      <c r="F25" s="15" t="s">
        <v>86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24</xdr:row>
                    <xdr:rowOff>19050</xdr:rowOff>
                  </from>
                  <to>
                    <xdr:col>6</xdr:col>
                    <xdr:colOff>520700</xdr:colOff>
                    <xdr:row>25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196850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6FD-C8BE-44AF-8F79-A29C9FB6D54C}">
  <dimension ref="A1:V59"/>
  <sheetViews>
    <sheetView workbookViewId="0">
      <selection activeCell="A21" sqref="A21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5.906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7" t="s">
        <v>16</v>
      </c>
      <c r="C5" s="18"/>
      <c r="D5" s="19"/>
      <c r="E5" s="4" t="s">
        <v>2</v>
      </c>
      <c r="F5" s="20" t="s">
        <v>17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7">
        <v>3</v>
      </c>
      <c r="C6" s="18"/>
      <c r="D6" s="19"/>
      <c r="E6" s="4" t="s">
        <v>4</v>
      </c>
      <c r="F6" s="20">
        <v>1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7" t="s">
        <v>18</v>
      </c>
      <c r="C7" s="18"/>
      <c r="D7" s="19"/>
      <c r="E7" s="4" t="s">
        <v>6</v>
      </c>
      <c r="F7" s="20" t="s">
        <v>46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7" t="s">
        <v>18</v>
      </c>
      <c r="C8" s="18"/>
      <c r="D8" s="19"/>
      <c r="E8" s="4" t="s">
        <v>8</v>
      </c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43.5" x14ac:dyDescent="0.35">
      <c r="A11" s="9">
        <v>1</v>
      </c>
      <c r="B11" s="10"/>
      <c r="C11" s="14" t="s">
        <v>88</v>
      </c>
      <c r="D11" s="9" t="s">
        <v>47</v>
      </c>
      <c r="E11" s="14" t="s">
        <v>98</v>
      </c>
      <c r="F11" s="14" t="s">
        <v>99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43.5" x14ac:dyDescent="0.35">
      <c r="A12" s="9">
        <v>2</v>
      </c>
      <c r="B12" s="10"/>
      <c r="C12" s="14" t="s">
        <v>88</v>
      </c>
      <c r="D12" s="9" t="s">
        <v>49</v>
      </c>
      <c r="E12" s="14" t="s">
        <v>100</v>
      </c>
      <c r="F12" s="14" t="s">
        <v>101</v>
      </c>
      <c r="G12" s="9"/>
    </row>
    <row r="13" spans="1:22" ht="43.5" x14ac:dyDescent="0.35">
      <c r="A13" s="9">
        <v>3</v>
      </c>
      <c r="B13" s="10"/>
      <c r="C13" s="14" t="s">
        <v>88</v>
      </c>
      <c r="D13" s="9" t="s">
        <v>55</v>
      </c>
      <c r="E13" s="14" t="s">
        <v>102</v>
      </c>
      <c r="F13" s="14" t="s">
        <v>102</v>
      </c>
      <c r="G13" s="9"/>
    </row>
    <row r="14" spans="1:22" ht="43.5" x14ac:dyDescent="0.35">
      <c r="A14" s="9">
        <v>4</v>
      </c>
      <c r="B14" s="10"/>
      <c r="C14" s="14" t="s">
        <v>88</v>
      </c>
      <c r="D14" s="9" t="s">
        <v>57</v>
      </c>
      <c r="E14" s="14" t="s">
        <v>103</v>
      </c>
      <c r="F14" s="14" t="s">
        <v>103</v>
      </c>
      <c r="G14" s="9"/>
    </row>
    <row r="15" spans="1:22" ht="43.5" x14ac:dyDescent="0.35">
      <c r="A15" s="9">
        <v>5</v>
      </c>
      <c r="B15" s="9"/>
      <c r="C15" s="14" t="s">
        <v>88</v>
      </c>
      <c r="D15" s="9" t="s">
        <v>59</v>
      </c>
      <c r="E15" s="14" t="s">
        <v>104</v>
      </c>
      <c r="F15" s="14" t="s">
        <v>104</v>
      </c>
      <c r="G15" s="9"/>
    </row>
    <row r="16" spans="1:22" ht="43.5" x14ac:dyDescent="0.35">
      <c r="A16" s="9">
        <v>6</v>
      </c>
      <c r="B16" s="9"/>
      <c r="C16" s="14" t="s">
        <v>88</v>
      </c>
      <c r="D16" s="9" t="s">
        <v>61</v>
      </c>
      <c r="E16" s="14" t="s">
        <v>106</v>
      </c>
      <c r="F16" s="14" t="s">
        <v>106</v>
      </c>
      <c r="G16" s="9"/>
    </row>
    <row r="17" spans="1:22" x14ac:dyDescent="0.35">
      <c r="A17" s="1"/>
      <c r="B17" s="1"/>
      <c r="C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20" spans="1:22" x14ac:dyDescent="0.35">
      <c r="A20" t="s">
        <v>177</v>
      </c>
    </row>
    <row r="22" spans="1:22" x14ac:dyDescent="0.35">
      <c r="B22" s="16" t="s">
        <v>94</v>
      </c>
      <c r="C22" s="16" t="s">
        <v>91</v>
      </c>
      <c r="D22" s="16" t="s">
        <v>92</v>
      </c>
      <c r="E22" s="16" t="s">
        <v>89</v>
      </c>
      <c r="F22" s="16" t="s">
        <v>90</v>
      </c>
    </row>
    <row r="23" spans="1:22" x14ac:dyDescent="0.35">
      <c r="B23">
        <f>(3*4)+(3*2)</f>
        <v>18</v>
      </c>
      <c r="C23">
        <v>40</v>
      </c>
      <c r="D23">
        <v>60</v>
      </c>
      <c r="E23" s="16">
        <f>(C23+D23)*5</f>
        <v>500</v>
      </c>
      <c r="F23" s="16">
        <f>E23/(5*100)*100</f>
        <v>100</v>
      </c>
    </row>
    <row r="24" spans="1:22" x14ac:dyDescent="0.35">
      <c r="B24">
        <f t="shared" ref="B24:B27" si="0">(3*4)+(3*2)</f>
        <v>18</v>
      </c>
      <c r="C24">
        <v>35</v>
      </c>
      <c r="D24">
        <v>50</v>
      </c>
      <c r="E24" s="16">
        <f t="shared" ref="E24:E27" si="1">(C24+D24)*5</f>
        <v>425</v>
      </c>
      <c r="F24" s="16">
        <f t="shared" ref="F24:F27" si="2">E24/(5*100)*100</f>
        <v>85</v>
      </c>
    </row>
    <row r="25" spans="1:22" x14ac:dyDescent="0.35">
      <c r="B25">
        <f t="shared" si="0"/>
        <v>18</v>
      </c>
      <c r="C25">
        <v>24</v>
      </c>
      <c r="D25">
        <v>36</v>
      </c>
      <c r="E25" s="16">
        <f t="shared" si="1"/>
        <v>300</v>
      </c>
      <c r="F25" s="16">
        <f t="shared" si="2"/>
        <v>60</v>
      </c>
    </row>
    <row r="26" spans="1:22" x14ac:dyDescent="0.35">
      <c r="B26">
        <f t="shared" si="0"/>
        <v>18</v>
      </c>
      <c r="C26">
        <v>22</v>
      </c>
      <c r="D26">
        <v>33</v>
      </c>
      <c r="E26" s="16">
        <f t="shared" si="1"/>
        <v>275</v>
      </c>
      <c r="F26" s="16">
        <f t="shared" si="2"/>
        <v>55.000000000000007</v>
      </c>
    </row>
    <row r="27" spans="1:22" x14ac:dyDescent="0.35">
      <c r="B27">
        <f t="shared" si="0"/>
        <v>18</v>
      </c>
      <c r="C27">
        <v>20</v>
      </c>
      <c r="D27">
        <v>30</v>
      </c>
      <c r="E27" s="16">
        <f t="shared" si="1"/>
        <v>250</v>
      </c>
      <c r="F27" s="16">
        <f t="shared" si="2"/>
        <v>50</v>
      </c>
    </row>
    <row r="28" spans="1:22" x14ac:dyDescent="0.35">
      <c r="E28" s="16"/>
      <c r="F28" s="16"/>
    </row>
    <row r="30" spans="1:22" x14ac:dyDescent="0.35">
      <c r="B30" s="16" t="s">
        <v>93</v>
      </c>
      <c r="C30" s="16" t="s">
        <v>91</v>
      </c>
      <c r="D30" s="16" t="s">
        <v>92</v>
      </c>
      <c r="E30" s="16" t="s">
        <v>89</v>
      </c>
      <c r="F30" s="16" t="s">
        <v>95</v>
      </c>
      <c r="G30" s="16" t="s">
        <v>96</v>
      </c>
    </row>
    <row r="31" spans="1:22" x14ac:dyDescent="0.35">
      <c r="B31">
        <v>4</v>
      </c>
      <c r="C31">
        <v>40</v>
      </c>
      <c r="D31">
        <v>60</v>
      </c>
      <c r="E31">
        <f>C31+D31</f>
        <v>100</v>
      </c>
      <c r="F31">
        <v>10</v>
      </c>
      <c r="G31">
        <f>F31*B31</f>
        <v>40</v>
      </c>
    </row>
    <row r="32" spans="1:22" x14ac:dyDescent="0.35">
      <c r="B32">
        <v>4</v>
      </c>
      <c r="C32">
        <v>40</v>
      </c>
      <c r="D32">
        <v>60</v>
      </c>
      <c r="E32">
        <f>C32+D32</f>
        <v>100</v>
      </c>
      <c r="F32">
        <v>10</v>
      </c>
      <c r="G32">
        <f t="shared" ref="G32:G35" si="3">F32*B32</f>
        <v>40</v>
      </c>
    </row>
    <row r="33" spans="2:7" x14ac:dyDescent="0.35">
      <c r="B33">
        <v>4</v>
      </c>
      <c r="C33">
        <v>40</v>
      </c>
      <c r="D33">
        <v>60</v>
      </c>
      <c r="E33">
        <f t="shared" ref="E33:E35" si="4">C33+D33</f>
        <v>100</v>
      </c>
      <c r="F33">
        <v>10</v>
      </c>
      <c r="G33">
        <f t="shared" si="3"/>
        <v>40</v>
      </c>
    </row>
    <row r="34" spans="2:7" x14ac:dyDescent="0.35">
      <c r="B34">
        <v>3</v>
      </c>
      <c r="C34">
        <v>40</v>
      </c>
      <c r="D34">
        <v>60</v>
      </c>
      <c r="E34">
        <f t="shared" si="4"/>
        <v>100</v>
      </c>
      <c r="F34">
        <v>10</v>
      </c>
      <c r="G34">
        <f t="shared" si="3"/>
        <v>30</v>
      </c>
    </row>
    <row r="35" spans="2:7" x14ac:dyDescent="0.35">
      <c r="B35">
        <v>3</v>
      </c>
      <c r="C35">
        <v>40</v>
      </c>
      <c r="D35">
        <v>60</v>
      </c>
      <c r="E35">
        <f t="shared" si="4"/>
        <v>100</v>
      </c>
      <c r="F35">
        <v>10</v>
      </c>
      <c r="G35">
        <f t="shared" si="3"/>
        <v>30</v>
      </c>
    </row>
    <row r="36" spans="2:7" x14ac:dyDescent="0.35">
      <c r="B36">
        <f>SUM(B31:B35)</f>
        <v>18</v>
      </c>
      <c r="E36" s="16">
        <f>SUM(E31:E35)</f>
        <v>500</v>
      </c>
      <c r="F36" s="16">
        <f t="shared" ref="F36:G36" si="5">SUM(F31:F35)</f>
        <v>50</v>
      </c>
      <c r="G36" s="16">
        <f t="shared" si="5"/>
        <v>180</v>
      </c>
    </row>
    <row r="37" spans="2:7" x14ac:dyDescent="0.35">
      <c r="F37" s="16" t="s">
        <v>97</v>
      </c>
      <c r="G37" s="16">
        <f>G36/B36</f>
        <v>10</v>
      </c>
    </row>
    <row r="39" spans="2:7" x14ac:dyDescent="0.35">
      <c r="B39" s="16" t="s">
        <v>93</v>
      </c>
      <c r="C39" s="16" t="s">
        <v>91</v>
      </c>
      <c r="D39" s="16" t="s">
        <v>92</v>
      </c>
      <c r="E39" s="16" t="s">
        <v>89</v>
      </c>
      <c r="F39" s="16" t="s">
        <v>95</v>
      </c>
      <c r="G39" s="16" t="s">
        <v>96</v>
      </c>
    </row>
    <row r="40" spans="2:7" x14ac:dyDescent="0.35">
      <c r="B40">
        <v>4</v>
      </c>
      <c r="C40">
        <v>19</v>
      </c>
      <c r="D40">
        <v>29</v>
      </c>
      <c r="E40">
        <f>C40+D40</f>
        <v>48</v>
      </c>
      <c r="F40">
        <v>0</v>
      </c>
      <c r="G40">
        <f>F40*B40</f>
        <v>0</v>
      </c>
    </row>
    <row r="41" spans="2:7" x14ac:dyDescent="0.35">
      <c r="B41">
        <v>4</v>
      </c>
      <c r="C41">
        <v>19</v>
      </c>
      <c r="D41">
        <v>29</v>
      </c>
      <c r="E41">
        <f>C41+D41</f>
        <v>48</v>
      </c>
      <c r="F41">
        <v>0</v>
      </c>
      <c r="G41">
        <f t="shared" ref="G41:G44" si="6">F41*B41</f>
        <v>0</v>
      </c>
    </row>
    <row r="42" spans="2:7" x14ac:dyDescent="0.35">
      <c r="B42">
        <v>4</v>
      </c>
      <c r="C42">
        <v>0</v>
      </c>
      <c r="D42">
        <v>0</v>
      </c>
      <c r="E42">
        <f t="shared" ref="E42:E44" si="7">C42+D42</f>
        <v>0</v>
      </c>
      <c r="F42">
        <v>0</v>
      </c>
      <c r="G42">
        <f t="shared" si="6"/>
        <v>0</v>
      </c>
    </row>
    <row r="43" spans="2:7" x14ac:dyDescent="0.35">
      <c r="B43">
        <v>3</v>
      </c>
      <c r="C43">
        <v>0</v>
      </c>
      <c r="D43">
        <v>0</v>
      </c>
      <c r="E43">
        <f t="shared" si="7"/>
        <v>0</v>
      </c>
      <c r="F43">
        <v>0</v>
      </c>
      <c r="G43">
        <f t="shared" si="6"/>
        <v>0</v>
      </c>
    </row>
    <row r="44" spans="2:7" x14ac:dyDescent="0.35">
      <c r="B44">
        <v>3</v>
      </c>
      <c r="C44">
        <v>0</v>
      </c>
      <c r="D44">
        <v>0</v>
      </c>
      <c r="E44">
        <f t="shared" si="7"/>
        <v>0</v>
      </c>
      <c r="F44">
        <v>0</v>
      </c>
      <c r="G44">
        <f t="shared" si="6"/>
        <v>0</v>
      </c>
    </row>
    <row r="45" spans="2:7" x14ac:dyDescent="0.35">
      <c r="B45">
        <f>SUM(B40:B44)</f>
        <v>18</v>
      </c>
      <c r="E45" s="16">
        <f>SUM(E40:E44)</f>
        <v>96</v>
      </c>
      <c r="F45" s="16">
        <v>0</v>
      </c>
      <c r="G45" s="16">
        <f>SUM(G40:G44)</f>
        <v>0</v>
      </c>
    </row>
    <row r="46" spans="2:7" x14ac:dyDescent="0.35">
      <c r="D46" s="16" t="s">
        <v>105</v>
      </c>
      <c r="E46" s="16">
        <f>E45/500*100</f>
        <v>19.2</v>
      </c>
      <c r="F46" s="16" t="s">
        <v>97</v>
      </c>
      <c r="G46" s="16">
        <f>G45/B45</f>
        <v>0</v>
      </c>
    </row>
    <row r="49" spans="2:7" x14ac:dyDescent="0.35">
      <c r="B49" s="16" t="s">
        <v>93</v>
      </c>
      <c r="C49" s="16" t="s">
        <v>91</v>
      </c>
      <c r="D49" s="16" t="s">
        <v>92</v>
      </c>
      <c r="E49" s="16" t="s">
        <v>89</v>
      </c>
      <c r="F49" s="16" t="s">
        <v>95</v>
      </c>
      <c r="G49" s="16" t="s">
        <v>96</v>
      </c>
    </row>
    <row r="50" spans="2:7" x14ac:dyDescent="0.35">
      <c r="B50">
        <v>4</v>
      </c>
      <c r="C50">
        <v>22</v>
      </c>
      <c r="D50">
        <v>33</v>
      </c>
      <c r="E50">
        <f>C50+D50</f>
        <v>55</v>
      </c>
      <c r="F50">
        <v>5</v>
      </c>
      <c r="G50">
        <f>F50*B50</f>
        <v>20</v>
      </c>
    </row>
    <row r="51" spans="2:7" x14ac:dyDescent="0.35">
      <c r="B51">
        <v>4</v>
      </c>
      <c r="C51">
        <v>22</v>
      </c>
      <c r="D51">
        <v>33</v>
      </c>
      <c r="E51">
        <f>C51+D51</f>
        <v>55</v>
      </c>
      <c r="F51">
        <v>5</v>
      </c>
      <c r="G51">
        <f t="shared" ref="G51:G54" si="8">F51*B51</f>
        <v>20</v>
      </c>
    </row>
    <row r="52" spans="2:7" x14ac:dyDescent="0.35">
      <c r="B52">
        <v>4</v>
      </c>
      <c r="C52">
        <v>22</v>
      </c>
      <c r="D52">
        <v>33</v>
      </c>
      <c r="E52">
        <f t="shared" ref="E52:E54" si="9">C52+D52</f>
        <v>55</v>
      </c>
      <c r="F52">
        <v>5</v>
      </c>
      <c r="G52">
        <f t="shared" si="8"/>
        <v>20</v>
      </c>
    </row>
    <row r="53" spans="2:7" x14ac:dyDescent="0.35">
      <c r="B53">
        <v>3</v>
      </c>
      <c r="C53">
        <v>22</v>
      </c>
      <c r="D53">
        <v>33</v>
      </c>
      <c r="E53">
        <f t="shared" si="9"/>
        <v>55</v>
      </c>
      <c r="F53">
        <v>5</v>
      </c>
      <c r="G53">
        <f t="shared" si="8"/>
        <v>15</v>
      </c>
    </row>
    <row r="54" spans="2:7" x14ac:dyDescent="0.35">
      <c r="B54">
        <v>3</v>
      </c>
      <c r="C54">
        <v>22</v>
      </c>
      <c r="D54">
        <v>33</v>
      </c>
      <c r="E54">
        <f t="shared" si="9"/>
        <v>55</v>
      </c>
      <c r="F54">
        <v>5</v>
      </c>
      <c r="G54">
        <f t="shared" si="8"/>
        <v>15</v>
      </c>
    </row>
    <row r="55" spans="2:7" x14ac:dyDescent="0.35">
      <c r="B55">
        <f>SUM(B50:B54)</f>
        <v>18</v>
      </c>
      <c r="E55" s="16">
        <f>SUM(E50:E54)</f>
        <v>275</v>
      </c>
      <c r="F55">
        <v>0</v>
      </c>
      <c r="G55" s="16">
        <f>SUM(G50:G54)</f>
        <v>90</v>
      </c>
    </row>
    <row r="56" spans="2:7" x14ac:dyDescent="0.35">
      <c r="F56" s="16" t="s">
        <v>97</v>
      </c>
      <c r="G56" s="16">
        <f>G55/B55</f>
        <v>5</v>
      </c>
    </row>
    <row r="59" spans="2:7" x14ac:dyDescent="0.35">
      <c r="C59" s="16" t="s">
        <v>147</v>
      </c>
      <c r="D59" s="16">
        <f>(SUM(F23:F27) +E46)/6</f>
        <v>61.533333333333331</v>
      </c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19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8" name="Check Box 16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9" name="Check Box 1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20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84EB-9461-4005-A57E-567E00B4A8CF}">
  <dimension ref="A1:V63"/>
  <sheetViews>
    <sheetView workbookViewId="0">
      <selection activeCell="D14" sqref="D14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5.906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7" t="s">
        <v>16</v>
      </c>
      <c r="C5" s="18"/>
      <c r="D5" s="19"/>
      <c r="E5" s="4" t="s">
        <v>2</v>
      </c>
      <c r="F5" s="20" t="s">
        <v>17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7">
        <v>4</v>
      </c>
      <c r="C6" s="18"/>
      <c r="D6" s="19"/>
      <c r="E6" s="4" t="s">
        <v>4</v>
      </c>
      <c r="F6" s="20">
        <v>4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7" t="s">
        <v>18</v>
      </c>
      <c r="C7" s="18"/>
      <c r="D7" s="19"/>
      <c r="E7" s="4" t="s">
        <v>6</v>
      </c>
      <c r="F7" s="20" t="s">
        <v>107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7" t="s">
        <v>18</v>
      </c>
      <c r="C8" s="18"/>
      <c r="D8" s="19"/>
      <c r="E8" s="4" t="s">
        <v>8</v>
      </c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9" x14ac:dyDescent="0.35">
      <c r="A11" s="9">
        <v>1</v>
      </c>
      <c r="B11" s="10"/>
      <c r="C11" s="14" t="s">
        <v>108</v>
      </c>
      <c r="D11" s="9" t="s">
        <v>146</v>
      </c>
      <c r="E11" s="14" t="s">
        <v>148</v>
      </c>
      <c r="F11" s="14" t="s">
        <v>149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9"/>
      <c r="B12" s="10"/>
      <c r="C12" s="14"/>
      <c r="D12" s="9"/>
      <c r="E12" s="14" t="s">
        <v>150</v>
      </c>
      <c r="F12" s="14" t="s">
        <v>150</v>
      </c>
      <c r="G12" s="9"/>
    </row>
    <row r="13" spans="1:22" x14ac:dyDescent="0.35">
      <c r="A13" s="9"/>
      <c r="B13" s="10"/>
      <c r="C13" s="14"/>
      <c r="D13" s="9"/>
      <c r="E13" s="14" t="s">
        <v>151</v>
      </c>
      <c r="F13" s="14" t="s">
        <v>151</v>
      </c>
      <c r="G13" s="9"/>
    </row>
    <row r="14" spans="1:22" x14ac:dyDescent="0.35">
      <c r="A14" s="9"/>
      <c r="B14" s="10"/>
      <c r="C14" s="14"/>
      <c r="D14" s="9"/>
      <c r="E14" s="14" t="s">
        <v>152</v>
      </c>
      <c r="F14" s="14" t="s">
        <v>152</v>
      </c>
      <c r="G14" s="9"/>
    </row>
    <row r="15" spans="1:22" x14ac:dyDescent="0.35">
      <c r="A15" s="9"/>
      <c r="B15" s="9"/>
      <c r="C15" s="14"/>
      <c r="D15" s="9"/>
      <c r="E15" s="14" t="s">
        <v>153</v>
      </c>
      <c r="F15" s="14" t="s">
        <v>153</v>
      </c>
      <c r="G15" s="9"/>
    </row>
    <row r="16" spans="1:22" x14ac:dyDescent="0.35">
      <c r="A16" s="9"/>
      <c r="B16" s="9"/>
      <c r="C16" s="14"/>
      <c r="D16" s="9"/>
      <c r="E16" s="14" t="s">
        <v>154</v>
      </c>
      <c r="F16" s="14" t="s">
        <v>154</v>
      </c>
      <c r="G16" s="9"/>
    </row>
    <row r="17" spans="1:22" x14ac:dyDescent="0.35">
      <c r="A17" s="1"/>
      <c r="B17" s="1"/>
      <c r="C17" s="1"/>
      <c r="E17" t="s">
        <v>155</v>
      </c>
      <c r="F17" t="s">
        <v>155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 t="s">
        <v>156</v>
      </c>
      <c r="F18" s="1" t="s">
        <v>156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E19" t="s">
        <v>157</v>
      </c>
      <c r="F19" t="s">
        <v>157</v>
      </c>
    </row>
    <row r="20" spans="1:22" x14ac:dyDescent="0.35">
      <c r="E20" t="s">
        <v>158</v>
      </c>
      <c r="F20" t="s">
        <v>158</v>
      </c>
    </row>
    <row r="22" spans="1:22" x14ac:dyDescent="0.35">
      <c r="A22" s="16" t="s">
        <v>145</v>
      </c>
      <c r="B22" s="16"/>
      <c r="C22" s="16"/>
      <c r="D22" s="16"/>
      <c r="E22" s="16"/>
      <c r="F22" s="16"/>
    </row>
    <row r="23" spans="1:22" x14ac:dyDescent="0.35">
      <c r="A23" t="s">
        <v>109</v>
      </c>
      <c r="E23" s="16"/>
      <c r="F23" s="16"/>
    </row>
    <row r="24" spans="1:22" x14ac:dyDescent="0.35">
      <c r="A24" t="s">
        <v>110</v>
      </c>
      <c r="E24" s="16"/>
      <c r="F24" s="16"/>
    </row>
    <row r="25" spans="1:22" x14ac:dyDescent="0.35">
      <c r="A25" t="s">
        <v>111</v>
      </c>
      <c r="E25" s="16"/>
      <c r="F25" s="16"/>
    </row>
    <row r="26" spans="1:22" x14ac:dyDescent="0.35">
      <c r="A26" t="s">
        <v>112</v>
      </c>
      <c r="E26" s="16"/>
      <c r="F26" s="16"/>
    </row>
    <row r="27" spans="1:22" x14ac:dyDescent="0.35">
      <c r="A27" t="s">
        <v>113</v>
      </c>
      <c r="E27" s="16"/>
      <c r="F27" s="16"/>
    </row>
    <row r="28" spans="1:22" x14ac:dyDescent="0.35">
      <c r="A28" t="s">
        <v>114</v>
      </c>
      <c r="E28" s="16"/>
      <c r="F28" s="16"/>
    </row>
    <row r="30" spans="1:22" x14ac:dyDescent="0.35">
      <c r="A30" t="s">
        <v>115</v>
      </c>
      <c r="B30" s="16"/>
      <c r="C30" s="16"/>
      <c r="D30" s="16"/>
      <c r="E30" s="16"/>
      <c r="F30" s="16"/>
      <c r="G30" s="16"/>
    </row>
    <row r="31" spans="1:22" x14ac:dyDescent="0.35">
      <c r="A31" t="s">
        <v>116</v>
      </c>
    </row>
    <row r="32" spans="1:22" x14ac:dyDescent="0.35">
      <c r="A32" t="s">
        <v>117</v>
      </c>
    </row>
    <row r="33" spans="1:7" x14ac:dyDescent="0.35">
      <c r="A33" t="s">
        <v>118</v>
      </c>
    </row>
    <row r="34" spans="1:7" x14ac:dyDescent="0.35">
      <c r="A34" t="s">
        <v>119</v>
      </c>
    </row>
    <row r="35" spans="1:7" x14ac:dyDescent="0.35">
      <c r="A35" t="s">
        <v>120</v>
      </c>
    </row>
    <row r="36" spans="1:7" x14ac:dyDescent="0.35">
      <c r="E36" s="16"/>
      <c r="F36" s="16"/>
      <c r="G36" s="16"/>
    </row>
    <row r="37" spans="1:7" x14ac:dyDescent="0.35">
      <c r="A37" t="s">
        <v>121</v>
      </c>
      <c r="F37" s="16"/>
      <c r="G37" s="16"/>
    </row>
    <row r="38" spans="1:7" x14ac:dyDescent="0.35">
      <c r="A38" t="s">
        <v>122</v>
      </c>
    </row>
    <row r="39" spans="1:7" x14ac:dyDescent="0.35">
      <c r="A39" t="s">
        <v>123</v>
      </c>
      <c r="B39" s="16"/>
      <c r="C39" s="16"/>
      <c r="D39" s="16"/>
      <c r="E39" s="16"/>
      <c r="F39" s="16"/>
      <c r="G39" s="16"/>
    </row>
    <row r="40" spans="1:7" x14ac:dyDescent="0.35">
      <c r="A40" t="s">
        <v>124</v>
      </c>
    </row>
    <row r="41" spans="1:7" x14ac:dyDescent="0.35">
      <c r="A41" t="s">
        <v>125</v>
      </c>
    </row>
    <row r="42" spans="1:7" x14ac:dyDescent="0.35">
      <c r="A42" t="s">
        <v>126</v>
      </c>
    </row>
    <row r="44" spans="1:7" x14ac:dyDescent="0.35">
      <c r="A44" t="s">
        <v>127</v>
      </c>
    </row>
    <row r="45" spans="1:7" x14ac:dyDescent="0.35">
      <c r="A45" t="s">
        <v>128</v>
      </c>
      <c r="E45" s="16"/>
      <c r="F45" s="16"/>
      <c r="G45" s="16"/>
    </row>
    <row r="46" spans="1:7" x14ac:dyDescent="0.35">
      <c r="A46" t="s">
        <v>129</v>
      </c>
      <c r="D46" s="16"/>
      <c r="E46" s="16"/>
      <c r="F46" s="16"/>
      <c r="G46" s="16"/>
    </row>
    <row r="47" spans="1:7" x14ac:dyDescent="0.35">
      <c r="A47" t="s">
        <v>130</v>
      </c>
    </row>
    <row r="48" spans="1:7" x14ac:dyDescent="0.35">
      <c r="A48" t="s">
        <v>131</v>
      </c>
    </row>
    <row r="49" spans="1:7" x14ac:dyDescent="0.35">
      <c r="A49" t="s">
        <v>132</v>
      </c>
      <c r="B49" s="16"/>
      <c r="C49" s="16"/>
      <c r="D49" s="16"/>
      <c r="E49" s="16"/>
      <c r="F49" s="16"/>
      <c r="G49" s="16"/>
    </row>
    <row r="51" spans="1:7" x14ac:dyDescent="0.35">
      <c r="A51" t="s">
        <v>133</v>
      </c>
    </row>
    <row r="52" spans="1:7" x14ac:dyDescent="0.35">
      <c r="A52" t="s">
        <v>134</v>
      </c>
    </row>
    <row r="53" spans="1:7" x14ac:dyDescent="0.35">
      <c r="A53" t="s">
        <v>135</v>
      </c>
    </row>
    <row r="54" spans="1:7" x14ac:dyDescent="0.35">
      <c r="A54" t="s">
        <v>136</v>
      </c>
    </row>
    <row r="55" spans="1:7" x14ac:dyDescent="0.35">
      <c r="A55" t="s">
        <v>137</v>
      </c>
      <c r="E55" s="16"/>
      <c r="G55" s="16"/>
    </row>
    <row r="56" spans="1:7" x14ac:dyDescent="0.35">
      <c r="A56" t="s">
        <v>138</v>
      </c>
      <c r="F56" s="16"/>
      <c r="G56" s="16"/>
    </row>
    <row r="58" spans="1:7" x14ac:dyDescent="0.35">
      <c r="A58" t="s">
        <v>139</v>
      </c>
    </row>
    <row r="59" spans="1:7" x14ac:dyDescent="0.35">
      <c r="A59" t="s">
        <v>140</v>
      </c>
    </row>
    <row r="60" spans="1:7" x14ac:dyDescent="0.35">
      <c r="A60" t="s">
        <v>141</v>
      </c>
    </row>
    <row r="61" spans="1:7" x14ac:dyDescent="0.35">
      <c r="A61" t="s">
        <v>142</v>
      </c>
    </row>
    <row r="62" spans="1:7" x14ac:dyDescent="0.35">
      <c r="A62" t="s">
        <v>143</v>
      </c>
    </row>
    <row r="63" spans="1:7" x14ac:dyDescent="0.35">
      <c r="A63" t="s">
        <v>144</v>
      </c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4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5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6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7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8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9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0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1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2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3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4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19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5" name="Check Box 16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6" name="Check Box 1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0</xdr:rowOff>
                  </from>
                  <to>
                    <xdr:col>6</xdr:col>
                    <xdr:colOff>520700</xdr:colOff>
                    <xdr:row>20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7" r:id="rId17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18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19" name="Check Box 4">
              <controlPr defaultSize="0" autoFill="0" autoLine="0" autoPict="0">
                <anchor moveWithCells="1">
                  <from>
                    <xdr:col>6</xdr:col>
                    <xdr:colOff>1130300</xdr:colOff>
                    <xdr:row>2</xdr:row>
                    <xdr:rowOff>177800</xdr:rowOff>
                  </from>
                  <to>
                    <xdr:col>6</xdr:col>
                    <xdr:colOff>1358900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0" name="Check Box 18">
              <controlPr defaultSize="0" autoFill="0" autoLine="0" autoPict="0">
                <anchor moveWithCells="1">
                  <from>
                    <xdr:col>6</xdr:col>
                    <xdr:colOff>476250</xdr:colOff>
                    <xdr:row>5</xdr:row>
                    <xdr:rowOff>127000</xdr:rowOff>
                  </from>
                  <to>
                    <xdr:col>6</xdr:col>
                    <xdr:colOff>704850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032B-E683-4F4D-B523-3DF853F58639}">
  <dimension ref="A1:V26"/>
  <sheetViews>
    <sheetView topLeftCell="A8" workbookViewId="0">
      <selection activeCell="F14" sqref="F14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7" t="s">
        <v>16</v>
      </c>
      <c r="C5" s="18"/>
      <c r="D5" s="19"/>
      <c r="E5" s="4" t="s">
        <v>2</v>
      </c>
      <c r="F5" s="20" t="s">
        <v>17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7">
        <v>5</v>
      </c>
      <c r="C6" s="18"/>
      <c r="D6" s="19"/>
      <c r="E6" s="4" t="s">
        <v>4</v>
      </c>
      <c r="F6" s="20">
        <v>1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7" t="s">
        <v>18</v>
      </c>
      <c r="C7" s="18"/>
      <c r="D7" s="19"/>
      <c r="E7" s="4" t="s">
        <v>6</v>
      </c>
      <c r="F7" s="20" t="s">
        <v>159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7" t="s">
        <v>18</v>
      </c>
      <c r="C8" s="18"/>
      <c r="D8" s="19"/>
      <c r="E8" s="4" t="s">
        <v>8</v>
      </c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35">
      <c r="A11" s="9">
        <v>1</v>
      </c>
      <c r="B11" s="10"/>
      <c r="C11" s="9" t="s">
        <v>160</v>
      </c>
      <c r="D11" s="9" t="s">
        <v>161</v>
      </c>
      <c r="E11" s="9" t="s">
        <v>162</v>
      </c>
      <c r="F11" s="9" t="s">
        <v>162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35">
      <c r="A12" s="9">
        <v>2</v>
      </c>
      <c r="B12" s="10"/>
      <c r="C12" s="9" t="s">
        <v>163</v>
      </c>
      <c r="D12" s="9" t="s">
        <v>164</v>
      </c>
      <c r="E12" s="9" t="s">
        <v>165</v>
      </c>
      <c r="F12" s="9" t="s">
        <v>165</v>
      </c>
      <c r="G12" s="9"/>
    </row>
    <row r="13" spans="1:22" ht="22" customHeight="1" x14ac:dyDescent="0.35">
      <c r="A13" s="9">
        <v>3</v>
      </c>
      <c r="B13" s="10"/>
      <c r="C13" s="9" t="s">
        <v>166</v>
      </c>
      <c r="D13" s="9" t="s">
        <v>164</v>
      </c>
      <c r="E13" s="9" t="s">
        <v>167</v>
      </c>
      <c r="F13" s="9" t="s">
        <v>176</v>
      </c>
      <c r="G13" s="9"/>
    </row>
    <row r="14" spans="1:22" ht="22" customHeight="1" x14ac:dyDescent="0.35">
      <c r="A14" s="9"/>
      <c r="B14" s="10"/>
      <c r="C14" s="9"/>
      <c r="D14" s="9"/>
      <c r="E14" s="9" t="s">
        <v>168</v>
      </c>
      <c r="F14" s="9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9"/>
      <c r="B15" s="9"/>
      <c r="C15" s="9"/>
      <c r="D15" s="9"/>
      <c r="E15" s="9" t="s">
        <v>169</v>
      </c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35">
      <c r="A16" s="9"/>
      <c r="B16" s="9"/>
      <c r="C16" s="9"/>
      <c r="D16" s="9"/>
      <c r="E16" s="9" t="s">
        <v>170</v>
      </c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35">
      <c r="A17" s="9"/>
      <c r="B17" s="9"/>
      <c r="C17" s="9"/>
      <c r="D17" s="9"/>
      <c r="E17" s="9" t="s">
        <v>171</v>
      </c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" customHeight="1" x14ac:dyDescent="0.35">
      <c r="A18" s="9"/>
      <c r="B18" s="9"/>
      <c r="C18" s="9"/>
      <c r="D18" s="9"/>
      <c r="E18" s="9" t="s">
        <v>172</v>
      </c>
      <c r="F18" s="9"/>
      <c r="G18" s="9"/>
    </row>
    <row r="19" spans="1:22" ht="22" customHeight="1" x14ac:dyDescent="0.35">
      <c r="A19" s="9"/>
      <c r="B19" s="9"/>
      <c r="C19" s="9"/>
      <c r="D19" s="9"/>
      <c r="E19" s="9" t="s">
        <v>173</v>
      </c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" customHeight="1" x14ac:dyDescent="0.35">
      <c r="A20" s="9"/>
      <c r="B20" s="9"/>
      <c r="C20" s="9"/>
      <c r="D20" s="9"/>
      <c r="E20" s="9" t="s">
        <v>174</v>
      </c>
      <c r="F20" s="9"/>
      <c r="G20" s="9"/>
    </row>
    <row r="21" spans="1:22" ht="22" customHeight="1" x14ac:dyDescent="0.35">
      <c r="A21" s="9"/>
      <c r="B21" s="9"/>
      <c r="C21" s="9"/>
      <c r="D21" s="9"/>
      <c r="E21" s="9" t="s">
        <v>175</v>
      </c>
      <c r="F21" s="9"/>
      <c r="G21" s="9"/>
    </row>
    <row r="22" spans="1:22" ht="22" customHeight="1" x14ac:dyDescent="0.35">
      <c r="A22" s="9"/>
      <c r="B22" s="9"/>
      <c r="C22" s="9"/>
      <c r="D22" s="9"/>
      <c r="E22" s="9"/>
      <c r="F22" s="9"/>
      <c r="G22" s="9"/>
    </row>
    <row r="23" spans="1:22" ht="22" customHeight="1" x14ac:dyDescent="0.3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25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Sheet1.0</vt:lpstr>
      <vt:lpstr>Sheet1.1</vt:lpstr>
      <vt:lpstr>Sheet2.0</vt:lpstr>
      <vt:lpstr>Sheet3.0</vt:lpstr>
      <vt:lpstr>Sheet4.0</vt:lpstr>
      <vt:lpstr>Sheet5.0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Himshikha Seetah</dc:creator>
  <cp:lastModifiedBy>Himshikha Seetah</cp:lastModifiedBy>
  <dcterms:created xsi:type="dcterms:W3CDTF">2026-01-20T08:57:54Z</dcterms:created>
  <dcterms:modified xsi:type="dcterms:W3CDTF">2026-01-24T17:00:38Z</dcterms:modified>
</cp:coreProperties>
</file>